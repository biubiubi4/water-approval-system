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学生成绩" sheetId="1" r:id="rId1"/>
    <sheet name="各项评分标准" sheetId="2" r:id="rId2"/>
  </sheets>
  <definedNames>
    <definedName name="_xlnm._FilterDatabase" localSheetId="0" hidden="1">学生成绩!$A$4:$V$277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<sst xmlns="http://schemas.openxmlformats.org/spreadsheetml/2006/main" count="455" uniqueCount="247">
  <si>
    <t>浙江水利水电学院春学期大一体育课程评分计算模板</t>
  </si>
  <si>
    <r>
      <rPr>
        <sz val="12"/>
        <rFont val="宋体"/>
        <charset val="134"/>
        <scheme val="minor"/>
      </rPr>
      <t xml:space="preserve">此表格用于自动计算身体素质成绩或课程成绩
</t>
    </r>
    <r>
      <rPr>
        <sz val="12"/>
        <color rgb="FFFF0000"/>
        <rFont val="宋体"/>
        <charset val="134"/>
        <scheme val="minor"/>
      </rPr>
      <t>注：</t>
    </r>
    <r>
      <rPr>
        <b/>
        <sz val="12"/>
        <color rgb="FF00B0F0"/>
        <rFont val="宋体"/>
        <charset val="134"/>
        <scheme val="minor"/>
      </rPr>
      <t>性别</t>
    </r>
    <r>
      <rPr>
        <b/>
        <sz val="12"/>
        <rFont val="宋体"/>
        <charset val="134"/>
        <scheme val="minor"/>
      </rPr>
      <t>必填/选，</t>
    </r>
    <r>
      <rPr>
        <sz val="12"/>
        <color rgb="FFFFC000"/>
        <rFont val="宋体"/>
        <charset val="134"/>
        <scheme val="minor"/>
      </rPr>
      <t>橙色框内</t>
    </r>
    <r>
      <rPr>
        <sz val="12"/>
        <rFont val="宋体"/>
        <charset val="134"/>
        <scheme val="minor"/>
      </rPr>
      <t>请勿修改，立定跳远单位为cm，800/1000米</t>
    </r>
    <r>
      <rPr>
        <sz val="12"/>
        <color rgb="FFFF0000"/>
        <rFont val="宋体"/>
        <charset val="134"/>
        <scheme val="minor"/>
      </rPr>
      <t>4分5秒请填4.05</t>
    </r>
  </si>
  <si>
    <t>序号</t>
  </si>
  <si>
    <t>学号</t>
  </si>
  <si>
    <t>姓名</t>
  </si>
  <si>
    <r>
      <rPr>
        <b/>
        <sz val="12"/>
        <color rgb="FF000000"/>
        <rFont val="宋体"/>
        <charset val="134"/>
      </rPr>
      <t>性别</t>
    </r>
    <r>
      <rPr>
        <b/>
        <sz val="18"/>
        <color rgb="FFFF0000"/>
        <rFont val="Times New Roman"/>
        <charset val="134"/>
      </rPr>
      <t>*</t>
    </r>
  </si>
  <si>
    <t>班级</t>
  </si>
  <si>
    <t>平时成绩</t>
  </si>
  <si>
    <t>阳光长跑</t>
  </si>
  <si>
    <t>身体素质得分</t>
  </si>
  <si>
    <t>身体素质</t>
  </si>
  <si>
    <t>课程总分</t>
  </si>
  <si>
    <t>备注</t>
  </si>
  <si>
    <t>满分100</t>
  </si>
  <si>
    <t>引体向上
仰卧起坐</t>
  </si>
  <si>
    <t>成绩</t>
  </si>
  <si>
    <t>中长跑</t>
  </si>
  <si>
    <t>50米</t>
  </si>
  <si>
    <t>立定跳远</t>
  </si>
  <si>
    <r>
      <rPr>
        <sz val="10"/>
        <color rgb="FF000000"/>
        <rFont val="serif"/>
        <charset val="134"/>
      </rPr>
      <t>2023b11001</t>
    </r>
  </si>
  <si>
    <t>林凯</t>
  </si>
  <si>
    <t>男</t>
  </si>
  <si>
    <r>
      <rPr>
        <sz val="10"/>
        <color rgb="FF000000"/>
        <rFont val="serif"/>
        <charset val="134"/>
      </rPr>
      <t>软工23-1</t>
    </r>
  </si>
  <si>
    <r>
      <rPr>
        <sz val="10"/>
        <color rgb="FF000000"/>
        <rFont val="serif"/>
        <charset val="134"/>
      </rPr>
      <t>2023b11002</t>
    </r>
  </si>
  <si>
    <r>
      <rPr>
        <sz val="10"/>
        <color rgb="FF000000"/>
        <rFont val="serif"/>
        <charset val="134"/>
      </rPr>
      <t>焦磊</t>
    </r>
  </si>
  <si>
    <t>软工23-1</t>
  </si>
  <si>
    <r>
      <rPr>
        <sz val="10"/>
        <color rgb="FF000000"/>
        <rFont val="serif"/>
        <charset val="134"/>
      </rPr>
      <t>2023b11003</t>
    </r>
  </si>
  <si>
    <t>叶珂语</t>
  </si>
  <si>
    <t>女</t>
  </si>
  <si>
    <r>
      <rPr>
        <sz val="10"/>
        <color rgb="FF000000"/>
        <rFont val="serif"/>
        <charset val="134"/>
      </rPr>
      <t>2023b11004</t>
    </r>
  </si>
  <si>
    <t>赵杜炜</t>
  </si>
  <si>
    <r>
      <rPr>
        <sz val="10"/>
        <color rgb="FF000000"/>
        <rFont val="serif"/>
        <charset val="134"/>
      </rPr>
      <t>2023b11005</t>
    </r>
  </si>
  <si>
    <t>余睿翔</t>
  </si>
  <si>
    <r>
      <rPr>
        <sz val="10"/>
        <color rgb="FF000000"/>
        <rFont val="serif"/>
        <charset val="134"/>
      </rPr>
      <t>2023b11006</t>
    </r>
  </si>
  <si>
    <t>罗家康</t>
  </si>
  <si>
    <r>
      <rPr>
        <sz val="10"/>
        <color rgb="FF000000"/>
        <rFont val="serif"/>
        <charset val="134"/>
      </rPr>
      <t>2023b11007</t>
    </r>
  </si>
  <si>
    <t>吴乐乐</t>
  </si>
  <si>
    <r>
      <rPr>
        <sz val="10"/>
        <color rgb="FF000000"/>
        <rFont val="serif"/>
        <charset val="134"/>
      </rPr>
      <t>2023b11008</t>
    </r>
  </si>
  <si>
    <r>
      <rPr>
        <sz val="10"/>
        <color rgb="FF000000"/>
        <rFont val="serif"/>
        <charset val="134"/>
      </rPr>
      <t>林雅琼</t>
    </r>
  </si>
  <si>
    <r>
      <rPr>
        <sz val="10"/>
        <color rgb="FF000000"/>
        <rFont val="serif"/>
        <charset val="134"/>
      </rPr>
      <t>2023b11009</t>
    </r>
  </si>
  <si>
    <t>沈德涵</t>
  </si>
  <si>
    <r>
      <rPr>
        <sz val="10"/>
        <color rgb="FF000000"/>
        <rFont val="serif"/>
        <charset val="134"/>
      </rPr>
      <t>2023b11010</t>
    </r>
  </si>
  <si>
    <t>洪方祺</t>
  </si>
  <si>
    <r>
      <rPr>
        <sz val="10"/>
        <color rgb="FF000000"/>
        <rFont val="serif"/>
        <charset val="134"/>
      </rPr>
      <t>2023b11011</t>
    </r>
  </si>
  <si>
    <t>高鑫垒</t>
  </si>
  <si>
    <r>
      <rPr>
        <sz val="10"/>
        <color rgb="FF000000"/>
        <rFont val="serif"/>
        <charset val="134"/>
      </rPr>
      <t>2023b11012</t>
    </r>
  </si>
  <si>
    <t>叶晓临</t>
  </si>
  <si>
    <r>
      <rPr>
        <sz val="10"/>
        <color rgb="FF000000"/>
        <rFont val="serif"/>
        <charset val="134"/>
      </rPr>
      <t>2023b11013</t>
    </r>
  </si>
  <si>
    <t>郑子龙</t>
  </si>
  <si>
    <r>
      <rPr>
        <sz val="10"/>
        <color rgb="FF000000"/>
        <rFont val="serif"/>
        <charset val="134"/>
      </rPr>
      <t>2023b11014</t>
    </r>
  </si>
  <si>
    <t>金晓晨</t>
  </si>
  <si>
    <r>
      <rPr>
        <sz val="10"/>
        <color rgb="FF000000"/>
        <rFont val="serif"/>
        <charset val="134"/>
      </rPr>
      <t>2023b11015</t>
    </r>
  </si>
  <si>
    <t>汪黎明</t>
  </si>
  <si>
    <r>
      <rPr>
        <sz val="10"/>
        <color rgb="FF000000"/>
        <rFont val="serif"/>
        <charset val="134"/>
      </rPr>
      <t>2023b11016</t>
    </r>
  </si>
  <si>
    <t>袁佳炜</t>
  </si>
  <si>
    <r>
      <rPr>
        <sz val="10"/>
        <color rgb="FF000000"/>
        <rFont val="serif"/>
        <charset val="134"/>
      </rPr>
      <t>2023b11017</t>
    </r>
  </si>
  <si>
    <t>章淦越</t>
  </si>
  <si>
    <r>
      <rPr>
        <sz val="10"/>
        <color rgb="FF000000"/>
        <rFont val="serif"/>
        <charset val="134"/>
      </rPr>
      <t>2023b11018</t>
    </r>
  </si>
  <si>
    <t>林恩特</t>
  </si>
  <si>
    <r>
      <rPr>
        <sz val="10"/>
        <color rgb="FF000000"/>
        <rFont val="serif"/>
        <charset val="134"/>
      </rPr>
      <t>2023b11019</t>
    </r>
  </si>
  <si>
    <t>孙毅捷</t>
  </si>
  <si>
    <r>
      <rPr>
        <sz val="10"/>
        <color rgb="FF000000"/>
        <rFont val="serif"/>
        <charset val="134"/>
      </rPr>
      <t>2023b11020</t>
    </r>
  </si>
  <si>
    <t>屠子滢</t>
  </si>
  <si>
    <r>
      <rPr>
        <sz val="10"/>
        <color rgb="FF000000"/>
        <rFont val="serif"/>
        <charset val="134"/>
      </rPr>
      <t>2023b11021</t>
    </r>
  </si>
  <si>
    <t>祝浩然</t>
  </si>
  <si>
    <r>
      <rPr>
        <sz val="10"/>
        <color rgb="FF000000"/>
        <rFont val="serif"/>
        <charset val="134"/>
      </rPr>
      <t>2023b11022</t>
    </r>
  </si>
  <si>
    <t>秦佳旺</t>
  </si>
  <si>
    <r>
      <rPr>
        <sz val="10"/>
        <color rgb="FF000000"/>
        <rFont val="serif"/>
        <charset val="134"/>
      </rPr>
      <t>2023b11023</t>
    </r>
  </si>
  <si>
    <r>
      <rPr>
        <sz val="10"/>
        <color rgb="FF000000"/>
        <rFont val="serif"/>
        <charset val="134"/>
      </rPr>
      <t>李蔚旻</t>
    </r>
  </si>
  <si>
    <r>
      <rPr>
        <sz val="10"/>
        <color rgb="FF000000"/>
        <rFont val="serif"/>
        <charset val="134"/>
      </rPr>
      <t>2023b11024</t>
    </r>
  </si>
  <si>
    <t>刘梓宸</t>
  </si>
  <si>
    <r>
      <rPr>
        <sz val="10"/>
        <color rgb="FF000000"/>
        <rFont val="serif"/>
        <charset val="134"/>
      </rPr>
      <t>2023b11025</t>
    </r>
  </si>
  <si>
    <t>崔庆康</t>
  </si>
  <si>
    <r>
      <rPr>
        <sz val="10"/>
        <color rgb="FF000000"/>
        <rFont val="serif"/>
        <charset val="134"/>
      </rPr>
      <t>2023b11026</t>
    </r>
  </si>
  <si>
    <t>罗子航</t>
  </si>
  <si>
    <r>
      <rPr>
        <sz val="10"/>
        <color rgb="FF000000"/>
        <rFont val="serif"/>
        <charset val="134"/>
      </rPr>
      <t>2023b11027</t>
    </r>
  </si>
  <si>
    <t>杨润琳</t>
  </si>
  <si>
    <r>
      <rPr>
        <sz val="10"/>
        <color rgb="FF000000"/>
        <rFont val="serif"/>
        <charset val="134"/>
      </rPr>
      <t>2023b11028</t>
    </r>
  </si>
  <si>
    <t>张金瑞</t>
  </si>
  <si>
    <r>
      <rPr>
        <sz val="10"/>
        <color rgb="FF000000"/>
        <rFont val="serif"/>
        <charset val="134"/>
      </rPr>
      <t>2023b11029</t>
    </r>
  </si>
  <si>
    <t>潘高高</t>
  </si>
  <si>
    <r>
      <rPr>
        <sz val="10"/>
        <color rgb="FF000000"/>
        <rFont val="serif"/>
        <charset val="134"/>
      </rPr>
      <t>2023b11030</t>
    </r>
  </si>
  <si>
    <t>杨仕强</t>
  </si>
  <si>
    <t>2023b21016</t>
  </si>
  <si>
    <t>邓依仟</t>
  </si>
  <si>
    <t>2022b11077</t>
  </si>
  <si>
    <t>黄馨娴</t>
  </si>
  <si>
    <r>
      <rPr>
        <sz val="10"/>
        <color rgb="FF000000"/>
        <rFont val="serif"/>
        <charset val="134"/>
      </rPr>
      <t>2023b11031</t>
    </r>
  </si>
  <si>
    <r>
      <rPr>
        <sz val="10"/>
        <color rgb="FF000000"/>
        <rFont val="serif"/>
        <charset val="134"/>
      </rPr>
      <t>杨宇胜</t>
    </r>
  </si>
  <si>
    <t>软工23-2</t>
  </si>
  <si>
    <r>
      <rPr>
        <sz val="10"/>
        <color rgb="FF000000"/>
        <rFont val="serif"/>
        <charset val="134"/>
      </rPr>
      <t>2023b11032</t>
    </r>
  </si>
  <si>
    <r>
      <rPr>
        <sz val="10"/>
        <color rgb="FF000000"/>
        <rFont val="serif"/>
        <charset val="134"/>
      </rPr>
      <t>李意民</t>
    </r>
  </si>
  <si>
    <r>
      <rPr>
        <sz val="10"/>
        <color rgb="FF000000"/>
        <rFont val="serif"/>
        <charset val="134"/>
      </rPr>
      <t>2023b11033</t>
    </r>
  </si>
  <si>
    <r>
      <rPr>
        <sz val="10"/>
        <color rgb="FF000000"/>
        <rFont val="serif"/>
        <charset val="134"/>
      </rPr>
      <t>袁潇雅</t>
    </r>
  </si>
  <si>
    <r>
      <rPr>
        <sz val="10"/>
        <color rgb="FF000000"/>
        <rFont val="serif"/>
        <charset val="134"/>
      </rPr>
      <t>2023b11034</t>
    </r>
  </si>
  <si>
    <r>
      <rPr>
        <sz val="10"/>
        <color rgb="FF000000"/>
        <rFont val="serif"/>
        <charset val="134"/>
      </rPr>
      <t>黄哲远</t>
    </r>
  </si>
  <si>
    <r>
      <rPr>
        <sz val="10"/>
        <color rgb="FF000000"/>
        <rFont val="serif"/>
        <charset val="134"/>
      </rPr>
      <t>2023b11035</t>
    </r>
  </si>
  <si>
    <r>
      <rPr>
        <sz val="10"/>
        <color rgb="FF000000"/>
        <rFont val="serif"/>
        <charset val="134"/>
      </rPr>
      <t>张道欢</t>
    </r>
  </si>
  <si>
    <r>
      <rPr>
        <sz val="10"/>
        <color rgb="FF000000"/>
        <rFont val="serif"/>
        <charset val="134"/>
      </rPr>
      <t>2023b11036</t>
    </r>
  </si>
  <si>
    <r>
      <rPr>
        <sz val="10"/>
        <color rgb="FF000000"/>
        <rFont val="serif"/>
        <charset val="134"/>
      </rPr>
      <t>邵宇鹏</t>
    </r>
  </si>
  <si>
    <r>
      <rPr>
        <sz val="10"/>
        <color rgb="FF000000"/>
        <rFont val="serif"/>
        <charset val="134"/>
      </rPr>
      <t>2023b11037</t>
    </r>
  </si>
  <si>
    <r>
      <rPr>
        <sz val="10"/>
        <color rgb="FF000000"/>
        <rFont val="serif"/>
        <charset val="134"/>
      </rPr>
      <t>栾逸晨</t>
    </r>
  </si>
  <si>
    <r>
      <rPr>
        <sz val="10"/>
        <color rgb="FF000000"/>
        <rFont val="serif"/>
        <charset val="134"/>
      </rPr>
      <t>2023b11038</t>
    </r>
  </si>
  <si>
    <r>
      <rPr>
        <sz val="10"/>
        <color rgb="FF000000"/>
        <rFont val="serif"/>
        <charset val="134"/>
      </rPr>
      <t>周俊琪</t>
    </r>
  </si>
  <si>
    <r>
      <rPr>
        <sz val="10"/>
        <color rgb="FF000000"/>
        <rFont val="serif"/>
        <charset val="134"/>
      </rPr>
      <t>2023b11039</t>
    </r>
  </si>
  <si>
    <r>
      <rPr>
        <sz val="10"/>
        <color rgb="FF000000"/>
        <rFont val="serif"/>
        <charset val="134"/>
      </rPr>
      <t>俞君豪</t>
    </r>
  </si>
  <si>
    <r>
      <rPr>
        <sz val="10"/>
        <color rgb="FF000000"/>
        <rFont val="serif"/>
        <charset val="134"/>
      </rPr>
      <t>2023b11040</t>
    </r>
  </si>
  <si>
    <r>
      <rPr>
        <sz val="10"/>
        <color rgb="FF000000"/>
        <rFont val="serif"/>
        <charset val="134"/>
      </rPr>
      <t>叶鑫晖</t>
    </r>
  </si>
  <si>
    <r>
      <rPr>
        <sz val="10"/>
        <color rgb="FF000000"/>
        <rFont val="serif"/>
        <charset val="134"/>
      </rPr>
      <t>2023b11041</t>
    </r>
  </si>
  <si>
    <r>
      <rPr>
        <sz val="10"/>
        <color rgb="FF000000"/>
        <rFont val="serif"/>
        <charset val="134"/>
      </rPr>
      <t>陈寒旭</t>
    </r>
  </si>
  <si>
    <r>
      <rPr>
        <sz val="10"/>
        <color rgb="FF000000"/>
        <rFont val="serif"/>
        <charset val="134"/>
      </rPr>
      <t>2023b11042</t>
    </r>
  </si>
  <si>
    <r>
      <rPr>
        <sz val="10"/>
        <color rgb="FF000000"/>
        <rFont val="serif"/>
        <charset val="134"/>
      </rPr>
      <t>俞佳辉</t>
    </r>
  </si>
  <si>
    <r>
      <rPr>
        <sz val="10"/>
        <color rgb="FF000000"/>
        <rFont val="serif"/>
        <charset val="134"/>
      </rPr>
      <t>2023b11043</t>
    </r>
  </si>
  <si>
    <r>
      <rPr>
        <sz val="10"/>
        <color rgb="FF000000"/>
        <rFont val="serif"/>
        <charset val="134"/>
      </rPr>
      <t>金子涵</t>
    </r>
  </si>
  <si>
    <r>
      <rPr>
        <sz val="10"/>
        <color rgb="FF000000"/>
        <rFont val="serif"/>
        <charset val="134"/>
      </rPr>
      <t>2023b11044</t>
    </r>
  </si>
  <si>
    <r>
      <rPr>
        <sz val="10"/>
        <color rgb="FF000000"/>
        <rFont val="serif"/>
        <charset val="134"/>
      </rPr>
      <t>赵崇杰</t>
    </r>
  </si>
  <si>
    <r>
      <rPr>
        <sz val="10"/>
        <color rgb="FF000000"/>
        <rFont val="serif"/>
        <charset val="134"/>
      </rPr>
      <t>2023b11045</t>
    </r>
  </si>
  <si>
    <r>
      <rPr>
        <sz val="10"/>
        <color rgb="FF000000"/>
        <rFont val="serif"/>
        <charset val="134"/>
      </rPr>
      <t>夏一凡</t>
    </r>
  </si>
  <si>
    <r>
      <rPr>
        <sz val="10"/>
        <color rgb="FF000000"/>
        <rFont val="serif"/>
        <charset val="134"/>
      </rPr>
      <t>2023b11046</t>
    </r>
  </si>
  <si>
    <r>
      <rPr>
        <sz val="10"/>
        <color rgb="FF000000"/>
        <rFont val="serif"/>
        <charset val="134"/>
      </rPr>
      <t>吕文强</t>
    </r>
  </si>
  <si>
    <r>
      <rPr>
        <sz val="10"/>
        <color rgb="FF000000"/>
        <rFont val="serif"/>
        <charset val="134"/>
      </rPr>
      <t>2023b11047</t>
    </r>
  </si>
  <si>
    <r>
      <rPr>
        <sz val="10"/>
        <color rgb="FF000000"/>
        <rFont val="serif"/>
        <charset val="134"/>
      </rPr>
      <t>胡梦瑶</t>
    </r>
  </si>
  <si>
    <r>
      <rPr>
        <sz val="10"/>
        <color rgb="FF000000"/>
        <rFont val="serif"/>
        <charset val="134"/>
      </rPr>
      <t>2023b11048</t>
    </r>
  </si>
  <si>
    <r>
      <rPr>
        <sz val="10"/>
        <color rgb="FF000000"/>
        <rFont val="serif"/>
        <charset val="134"/>
      </rPr>
      <t>郑丁铭</t>
    </r>
  </si>
  <si>
    <r>
      <rPr>
        <sz val="10"/>
        <color rgb="FF000000"/>
        <rFont val="serif"/>
        <charset val="134"/>
      </rPr>
      <t>2023b11049</t>
    </r>
  </si>
  <si>
    <r>
      <rPr>
        <sz val="10"/>
        <color rgb="FF000000"/>
        <rFont val="serif"/>
        <charset val="134"/>
      </rPr>
      <t>胡温博</t>
    </r>
  </si>
  <si>
    <r>
      <rPr>
        <sz val="10"/>
        <color rgb="FF000000"/>
        <rFont val="serif"/>
        <charset val="134"/>
      </rPr>
      <t>2023b11050</t>
    </r>
  </si>
  <si>
    <r>
      <rPr>
        <sz val="10"/>
        <color rgb="FF000000"/>
        <rFont val="serif"/>
        <charset val="134"/>
      </rPr>
      <t>王梁坤</t>
    </r>
  </si>
  <si>
    <r>
      <rPr>
        <sz val="10"/>
        <color rgb="FF000000"/>
        <rFont val="serif"/>
        <charset val="134"/>
      </rPr>
      <t>2023b11051</t>
    </r>
  </si>
  <si>
    <r>
      <rPr>
        <sz val="10"/>
        <color rgb="FF000000"/>
        <rFont val="serif"/>
        <charset val="134"/>
      </rPr>
      <t>边俊涛</t>
    </r>
  </si>
  <si>
    <r>
      <rPr>
        <sz val="10"/>
        <color rgb="FF000000"/>
        <rFont val="serif"/>
        <charset val="134"/>
      </rPr>
      <t>2023b11052</t>
    </r>
  </si>
  <si>
    <r>
      <rPr>
        <sz val="10"/>
        <color rgb="FF000000"/>
        <rFont val="serif"/>
        <charset val="134"/>
      </rPr>
      <t>陈雨欣</t>
    </r>
  </si>
  <si>
    <r>
      <rPr>
        <sz val="10"/>
        <color rgb="FF000000"/>
        <rFont val="serif"/>
        <charset val="134"/>
      </rPr>
      <t>2023b11053</t>
    </r>
  </si>
  <si>
    <r>
      <rPr>
        <sz val="10"/>
        <color rgb="FF000000"/>
        <rFont val="serif"/>
        <charset val="134"/>
      </rPr>
      <t>高帆</t>
    </r>
  </si>
  <si>
    <r>
      <rPr>
        <sz val="10"/>
        <color rgb="FF000000"/>
        <rFont val="serif"/>
        <charset val="134"/>
      </rPr>
      <t>2023b11054</t>
    </r>
  </si>
  <si>
    <r>
      <rPr>
        <sz val="10"/>
        <color rgb="FF000000"/>
        <rFont val="serif"/>
        <charset val="134"/>
      </rPr>
      <t>唐任</t>
    </r>
  </si>
  <si>
    <r>
      <rPr>
        <sz val="10"/>
        <color rgb="FF000000"/>
        <rFont val="serif"/>
        <charset val="134"/>
      </rPr>
      <t>2023b11055</t>
    </r>
  </si>
  <si>
    <r>
      <rPr>
        <sz val="10"/>
        <color rgb="FF000000"/>
        <rFont val="serif"/>
        <charset val="134"/>
      </rPr>
      <t>徐臣强</t>
    </r>
  </si>
  <si>
    <r>
      <rPr>
        <sz val="10"/>
        <color rgb="FF000000"/>
        <rFont val="serif"/>
        <charset val="134"/>
      </rPr>
      <t>2023b11056</t>
    </r>
  </si>
  <si>
    <r>
      <rPr>
        <sz val="10"/>
        <color rgb="FF000000"/>
        <rFont val="serif"/>
        <charset val="134"/>
      </rPr>
      <t>吴昊天</t>
    </r>
  </si>
  <si>
    <r>
      <rPr>
        <sz val="10"/>
        <color rgb="FF000000"/>
        <rFont val="serif"/>
        <charset val="134"/>
      </rPr>
      <t>2023b11057</t>
    </r>
  </si>
  <si>
    <r>
      <rPr>
        <sz val="10"/>
        <color rgb="FF000000"/>
        <rFont val="serif"/>
        <charset val="134"/>
      </rPr>
      <t>詹晟</t>
    </r>
  </si>
  <si>
    <r>
      <rPr>
        <sz val="10"/>
        <color rgb="FF000000"/>
        <rFont val="serif"/>
        <charset val="134"/>
      </rPr>
      <t>2023b11058</t>
    </r>
  </si>
  <si>
    <r>
      <rPr>
        <sz val="10"/>
        <color rgb="FF000000"/>
        <rFont val="serif"/>
        <charset val="134"/>
      </rPr>
      <t>张诗林</t>
    </r>
  </si>
  <si>
    <r>
      <rPr>
        <sz val="10"/>
        <color rgb="FF000000"/>
        <rFont val="serif"/>
        <charset val="134"/>
      </rPr>
      <t>2023b11059</t>
    </r>
  </si>
  <si>
    <r>
      <rPr>
        <sz val="10"/>
        <color rgb="FF000000"/>
        <rFont val="serif"/>
        <charset val="134"/>
      </rPr>
      <t>李梦雪</t>
    </r>
  </si>
  <si>
    <r>
      <rPr>
        <sz val="10"/>
        <color rgb="FF000000"/>
        <rFont val="serif"/>
        <charset val="134"/>
      </rPr>
      <t>2023b11060</t>
    </r>
  </si>
  <si>
    <r>
      <rPr>
        <sz val="10"/>
        <color rgb="FF000000"/>
        <rFont val="serif"/>
        <charset val="134"/>
      </rPr>
      <t>邓万山</t>
    </r>
  </si>
  <si>
    <t>2023b20062</t>
  </si>
  <si>
    <t>甘青青</t>
  </si>
  <si>
    <t>该页为各项成绩评分标准，请勿随意更改，以免导致Excel无法计算</t>
  </si>
  <si>
    <t>50米（男）</t>
  </si>
  <si>
    <t>50米（女）</t>
  </si>
  <si>
    <t>立定跳远（男）</t>
  </si>
  <si>
    <t>立定跳远（女）</t>
  </si>
  <si>
    <t>引体向上</t>
  </si>
  <si>
    <t>仰卧起坐</t>
  </si>
  <si>
    <t>耐力跑（男）</t>
  </si>
  <si>
    <t>耐力跑（女）</t>
  </si>
  <si>
    <t>男生各单项素质指标评分表</t>
  </si>
  <si>
    <t>目</t>
  </si>
  <si>
    <t>肺活量</t>
  </si>
  <si>
    <t>50米跑</t>
  </si>
  <si>
    <t>坐位体前屈</t>
  </si>
  <si>
    <t>1000米跑</t>
  </si>
  <si>
    <t>（单位：毫升）</t>
  </si>
  <si>
    <t>（单位：秒）</t>
  </si>
  <si>
    <t>（单位：厘米）</t>
  </si>
  <si>
    <t>（单位：次）</t>
  </si>
  <si>
    <t>（单位：分·秒）</t>
  </si>
  <si>
    <t>得分</t>
  </si>
  <si>
    <t>大一</t>
  </si>
  <si>
    <t>大三</t>
  </si>
  <si>
    <t>大二</t>
  </si>
  <si>
    <t>大四</t>
  </si>
  <si>
    <t>优秀</t>
  </si>
  <si>
    <t>3'17"</t>
  </si>
  <si>
    <t>3'15"</t>
  </si>
  <si>
    <t>3'22"</t>
  </si>
  <si>
    <t>3'20"</t>
  </si>
  <si>
    <t>3'27"</t>
  </si>
  <si>
    <t>3'25"</t>
  </si>
  <si>
    <t>良好</t>
  </si>
  <si>
    <t>3'34"</t>
  </si>
  <si>
    <t>3'32"</t>
  </si>
  <si>
    <t>3'42"</t>
  </si>
  <si>
    <t>3'40"</t>
  </si>
  <si>
    <t>及格</t>
  </si>
  <si>
    <t>3'47"</t>
  </si>
  <si>
    <t>3'45"</t>
  </si>
  <si>
    <t>3'52"</t>
  </si>
  <si>
    <t>3'50"</t>
  </si>
  <si>
    <t>3'57"</t>
  </si>
  <si>
    <t>3'55"</t>
  </si>
  <si>
    <t>4'02"</t>
  </si>
  <si>
    <t>4'00"</t>
  </si>
  <si>
    <t>4'07"</t>
  </si>
  <si>
    <t>4'05"</t>
  </si>
  <si>
    <t>4'12"</t>
  </si>
  <si>
    <t>4'10"</t>
  </si>
  <si>
    <t>4'17"</t>
  </si>
  <si>
    <t>4'15"</t>
  </si>
  <si>
    <t>4'22"</t>
  </si>
  <si>
    <t>4'20"</t>
  </si>
  <si>
    <t>4'27"</t>
  </si>
  <si>
    <t>4'25"</t>
  </si>
  <si>
    <t>4'32"</t>
  </si>
  <si>
    <t>4'30"</t>
  </si>
  <si>
    <t>不及格</t>
  </si>
  <si>
    <t>4'52"</t>
  </si>
  <si>
    <t>4'50"</t>
  </si>
  <si>
    <t>5'12"</t>
  </si>
  <si>
    <t>5'10"</t>
  </si>
  <si>
    <t>5'32"</t>
  </si>
  <si>
    <t>5'30"</t>
  </si>
  <si>
    <t>5'52"</t>
  </si>
  <si>
    <t>5'50"</t>
  </si>
  <si>
    <t>6'12"</t>
  </si>
  <si>
    <t>6'10"</t>
  </si>
  <si>
    <t>女生各单项素质指标评分表</t>
  </si>
  <si>
    <t>800米跑</t>
  </si>
  <si>
    <t>3'18"</t>
  </si>
  <si>
    <t>3'16"</t>
  </si>
  <si>
    <t>3'24"</t>
  </si>
  <si>
    <t>3'30"</t>
  </si>
  <si>
    <t>3'28"</t>
  </si>
  <si>
    <t>3'37"</t>
  </si>
  <si>
    <t>3'35"</t>
  </si>
  <si>
    <t>3'44"</t>
  </si>
  <si>
    <t>3'49"</t>
  </si>
  <si>
    <t>3'54"</t>
  </si>
  <si>
    <t>3'59"</t>
  </si>
  <si>
    <t>4'04"</t>
  </si>
  <si>
    <t>4'09"</t>
  </si>
  <si>
    <t>4'14"</t>
  </si>
  <si>
    <t>4'19"</t>
  </si>
  <si>
    <t>4'24"</t>
  </si>
  <si>
    <t>4'29"</t>
  </si>
  <si>
    <t>4'34"</t>
  </si>
  <si>
    <t>4'44"</t>
  </si>
  <si>
    <t>4'42"</t>
  </si>
  <si>
    <t>4'54"</t>
  </si>
  <si>
    <t>5'04"</t>
  </si>
  <si>
    <t>5'02"</t>
  </si>
  <si>
    <t>5'14"</t>
  </si>
  <si>
    <t>5'24"</t>
  </si>
  <si>
    <t>5'22"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</si>
</sst>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_);[Red]\(0.0\)"/>
    <numFmt numFmtId="178" formatCode="0.00_ "/>
    <numFmt numFmtId="179" formatCode="0.00_);[Red]\(0.00\)"/>
    <numFmt numFmtId="180" formatCode="0_);[Red]\(0\)"/>
  </numFmts>
  <fonts count="44">
    <font>
      <sz val="12"/>
      <name val="宋体"/>
      <charset val="134"/>
    </font>
    <font>
      <sz val="20"/>
      <color indexed="10"/>
      <name val="宋体"/>
      <charset val="134"/>
    </font>
    <font>
      <b/>
      <sz val="20"/>
      <color theme="1"/>
      <name val="宋体"/>
      <charset val="134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b/>
      <sz val="26"/>
      <name val="黑体"/>
      <charset val="134"/>
    </font>
    <font>
      <b/>
      <sz val="20"/>
      <name val="黑体"/>
      <charset val="134"/>
    </font>
    <font>
      <sz val="12"/>
      <name val="宋体"/>
      <charset val="134"/>
      <scheme val="minor"/>
    </font>
    <font>
      <b/>
      <sz val="12"/>
      <name val="宋体"/>
      <charset val="134"/>
    </font>
    <font>
      <b/>
      <sz val="12"/>
      <color indexed="8"/>
      <name val="Times New Roman"/>
      <charset val="134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serif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b/>
      <sz val="18"/>
      <color rgb="FFFF0000"/>
      <name val="Times New Roman"/>
      <charset val="134"/>
    </font>
    <font>
      <sz val="12"/>
      <color rgb="FFFF0000"/>
      <name val="宋体"/>
      <charset val="134"/>
      <scheme val="minor"/>
    </font>
    <font>
      <b/>
      <sz val="12"/>
      <color rgb="FF00B0F0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rgb="FFFFC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3" borderId="1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15" applyNumberFormat="0" applyAlignment="0" applyProtection="0">
      <alignment vertical="center"/>
    </xf>
    <xf numFmtId="0" fontId="27" fillId="15" borderId="16" applyNumberFormat="0" applyAlignment="0" applyProtection="0">
      <alignment vertical="center"/>
    </xf>
    <xf numFmtId="0" fontId="28" fillId="15" borderId="15" applyNumberFormat="0" applyAlignment="0" applyProtection="0">
      <alignment vertical="center"/>
    </xf>
    <xf numFmtId="0" fontId="29" fillId="16" borderId="17" applyNumberFormat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05"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3" fillId="2" borderId="3" xfId="25" applyBorder="1" applyAlignment="1">
      <alignment horizontal="center" vertical="center" wrapText="1"/>
    </xf>
    <xf numFmtId="0" fontId="3" fillId="2" borderId="4" xfId="25" applyBorder="1" applyAlignment="1">
      <alignment horizontal="center" vertical="center" wrapText="1"/>
    </xf>
    <xf numFmtId="0" fontId="3" fillId="2" borderId="5" xfId="25" applyBorder="1" applyAlignment="1">
      <alignment horizontal="center" vertical="center" wrapText="1"/>
    </xf>
    <xf numFmtId="0" fontId="3" fillId="2" borderId="6" xfId="25" applyBorder="1" applyAlignment="1">
      <alignment horizontal="center" vertical="center" wrapText="1"/>
    </xf>
    <xf numFmtId="0" fontId="3" fillId="2" borderId="7" xfId="25" applyBorder="1" applyAlignment="1">
      <alignment horizontal="center" vertical="center" wrapText="1"/>
    </xf>
    <xf numFmtId="0" fontId="3" fillId="2" borderId="8" xfId="25" applyBorder="1" applyAlignment="1">
      <alignment horizontal="center" vertical="center" wrapText="1"/>
    </xf>
    <xf numFmtId="0" fontId="3" fillId="2" borderId="2" xfId="25" applyBorder="1" applyAlignment="1">
      <alignment horizontal="center" vertical="center" wrapText="1"/>
    </xf>
    <xf numFmtId="0" fontId="3" fillId="2" borderId="1" xfId="25" applyBorder="1" applyAlignment="1">
      <alignment horizontal="center" vertical="center" wrapText="1"/>
    </xf>
    <xf numFmtId="0" fontId="3" fillId="2" borderId="9" xfId="25" applyBorder="1" applyAlignment="1">
      <alignment horizontal="center" vertical="center" wrapText="1"/>
    </xf>
    <xf numFmtId="0" fontId="4" fillId="3" borderId="2" xfId="26" applyBorder="1" applyAlignment="1">
      <alignment horizontal="center" vertical="center" wrapText="1"/>
    </xf>
    <xf numFmtId="0" fontId="4" fillId="3" borderId="1" xfId="26" applyBorder="1" applyAlignment="1">
      <alignment horizontal="center" vertical="center" wrapText="1"/>
    </xf>
    <xf numFmtId="176" fontId="4" fillId="3" borderId="1" xfId="26" applyNumberFormat="1" applyBorder="1" applyAlignment="1">
      <alignment horizontal="center" vertical="center" wrapText="1"/>
    </xf>
    <xf numFmtId="0" fontId="4" fillId="3" borderId="10" xfId="26" applyBorder="1" applyAlignment="1">
      <alignment horizontal="center" vertical="center" wrapText="1"/>
    </xf>
    <xf numFmtId="0" fontId="4" fillId="3" borderId="9" xfId="26" applyBorder="1" applyAlignment="1">
      <alignment horizontal="center" vertical="center" wrapText="1"/>
    </xf>
    <xf numFmtId="0" fontId="4" fillId="4" borderId="2" xfId="27" applyBorder="1" applyAlignment="1">
      <alignment horizontal="center" vertical="center" wrapText="1"/>
    </xf>
    <xf numFmtId="0" fontId="4" fillId="4" borderId="1" xfId="27" applyBorder="1" applyAlignment="1">
      <alignment horizontal="center" vertical="center" wrapText="1"/>
    </xf>
    <xf numFmtId="176" fontId="4" fillId="4" borderId="1" xfId="27" applyNumberFormat="1" applyBorder="1" applyAlignment="1">
      <alignment horizontal="center" vertical="center" wrapText="1"/>
    </xf>
    <xf numFmtId="0" fontId="4" fillId="4" borderId="9" xfId="27" applyBorder="1" applyAlignment="1">
      <alignment horizontal="center" vertical="center" wrapText="1"/>
    </xf>
    <xf numFmtId="0" fontId="4" fillId="5" borderId="2" xfId="28" applyBorder="1" applyAlignment="1">
      <alignment horizontal="center" vertical="center" wrapText="1"/>
    </xf>
    <xf numFmtId="0" fontId="4" fillId="5" borderId="1" xfId="28" applyBorder="1" applyAlignment="1">
      <alignment horizontal="center" vertical="center" wrapText="1"/>
    </xf>
    <xf numFmtId="176" fontId="4" fillId="5" borderId="1" xfId="28" applyNumberFormat="1" applyBorder="1" applyAlignment="1">
      <alignment horizontal="center" vertical="center" wrapText="1"/>
    </xf>
    <xf numFmtId="0" fontId="4" fillId="5" borderId="1" xfId="28" applyBorder="1" applyAlignment="1">
      <alignment vertical="center" wrapText="1"/>
    </xf>
    <xf numFmtId="0" fontId="4" fillId="5" borderId="10" xfId="28" applyBorder="1" applyAlignment="1">
      <alignment horizontal="center" vertical="center" wrapText="1"/>
    </xf>
    <xf numFmtId="0" fontId="4" fillId="5" borderId="9" xfId="28" applyBorder="1" applyAlignment="1">
      <alignment horizontal="center" vertical="center" wrapText="1"/>
    </xf>
    <xf numFmtId="0" fontId="5" fillId="2" borderId="2" xfId="25" applyFont="1" applyBorder="1" applyAlignment="1">
      <alignment horizontal="center" vertical="center" wrapText="1"/>
    </xf>
    <xf numFmtId="0" fontId="5" fillId="2" borderId="1" xfId="25" applyFont="1" applyBorder="1" applyAlignment="1">
      <alignment horizontal="center" vertical="center" wrapText="1"/>
    </xf>
    <xf numFmtId="176" fontId="5" fillId="2" borderId="1" xfId="25" applyNumberFormat="1" applyFont="1" applyBorder="1" applyAlignment="1">
      <alignment horizontal="center" vertical="center" wrapText="1"/>
    </xf>
    <xf numFmtId="0" fontId="5" fillId="2" borderId="10" xfId="25" applyFont="1" applyBorder="1" applyAlignment="1">
      <alignment horizontal="center" vertical="center" wrapText="1"/>
    </xf>
    <xf numFmtId="0" fontId="5" fillId="2" borderId="9" xfId="25" applyFont="1" applyBorder="1" applyAlignment="1">
      <alignment horizontal="center" vertical="center" wrapText="1"/>
    </xf>
    <xf numFmtId="0" fontId="0" fillId="0" borderId="0" xfId="0">
      <alignment vertical="center"/>
    </xf>
    <xf numFmtId="0" fontId="3" fillId="6" borderId="1" xfId="29" applyBorder="1" applyAlignment="1">
      <alignment horizontal="center" vertical="center" wrapText="1"/>
    </xf>
    <xf numFmtId="0" fontId="3" fillId="6" borderId="10" xfId="29" applyBorder="1" applyAlignment="1">
      <alignment horizontal="center" vertical="center" wrapText="1"/>
    </xf>
    <xf numFmtId="0" fontId="3" fillId="6" borderId="2" xfId="29" applyBorder="1" applyAlignment="1">
      <alignment horizontal="center" vertical="center" wrapText="1"/>
    </xf>
    <xf numFmtId="0" fontId="3" fillId="6" borderId="9" xfId="29" applyBorder="1" applyAlignment="1">
      <alignment horizontal="center" vertical="center" wrapText="1"/>
    </xf>
    <xf numFmtId="0" fontId="4" fillId="7" borderId="2" xfId="30" applyBorder="1" applyAlignment="1">
      <alignment horizontal="center" vertical="center" wrapText="1"/>
    </xf>
    <xf numFmtId="0" fontId="4" fillId="7" borderId="1" xfId="30" applyBorder="1" applyAlignment="1">
      <alignment horizontal="center" vertical="center" wrapText="1"/>
    </xf>
    <xf numFmtId="176" fontId="4" fillId="7" borderId="1" xfId="30" applyNumberFormat="1" applyBorder="1" applyAlignment="1">
      <alignment horizontal="center" vertical="center" wrapText="1"/>
    </xf>
    <xf numFmtId="0" fontId="4" fillId="7" borderId="10" xfId="30" applyBorder="1" applyAlignment="1">
      <alignment horizontal="center" vertical="center" wrapText="1"/>
    </xf>
    <xf numFmtId="0" fontId="4" fillId="7" borderId="9" xfId="30" applyBorder="1" applyAlignment="1">
      <alignment horizontal="center" vertical="center" wrapText="1"/>
    </xf>
    <xf numFmtId="0" fontId="4" fillId="8" borderId="2" xfId="31" applyBorder="1" applyAlignment="1">
      <alignment horizontal="center" vertical="center" wrapText="1"/>
    </xf>
    <xf numFmtId="0" fontId="4" fillId="8" borderId="1" xfId="31" applyBorder="1" applyAlignment="1">
      <alignment horizontal="center" vertical="center" wrapText="1"/>
    </xf>
    <xf numFmtId="176" fontId="4" fillId="8" borderId="1" xfId="31" applyNumberFormat="1" applyBorder="1" applyAlignment="1">
      <alignment horizontal="center" vertical="center" wrapText="1"/>
    </xf>
    <xf numFmtId="0" fontId="4" fillId="8" borderId="9" xfId="31" applyBorder="1" applyAlignment="1">
      <alignment horizontal="center" vertical="center" wrapText="1"/>
    </xf>
    <xf numFmtId="0" fontId="4" fillId="9" borderId="2" xfId="32" applyBorder="1" applyAlignment="1">
      <alignment horizontal="center" vertical="center" wrapText="1"/>
    </xf>
    <xf numFmtId="0" fontId="4" fillId="9" borderId="1" xfId="32" applyBorder="1" applyAlignment="1">
      <alignment horizontal="center" vertical="center" wrapText="1"/>
    </xf>
    <xf numFmtId="176" fontId="4" fillId="9" borderId="1" xfId="32" applyNumberFormat="1" applyBorder="1" applyAlignment="1">
      <alignment horizontal="center" vertical="center" wrapText="1"/>
    </xf>
    <xf numFmtId="0" fontId="4" fillId="9" borderId="10" xfId="32" applyBorder="1" applyAlignment="1">
      <alignment horizontal="center" vertical="center" wrapText="1"/>
    </xf>
    <xf numFmtId="0" fontId="4" fillId="9" borderId="9" xfId="32" applyBorder="1" applyAlignment="1">
      <alignment horizontal="center" vertical="center" wrapText="1"/>
    </xf>
    <xf numFmtId="0" fontId="5" fillId="6" borderId="2" xfId="29" applyFont="1" applyBorder="1" applyAlignment="1">
      <alignment horizontal="center" vertical="center" wrapText="1"/>
    </xf>
    <xf numFmtId="0" fontId="5" fillId="6" borderId="1" xfId="29" applyFont="1" applyBorder="1" applyAlignment="1">
      <alignment horizontal="center" vertical="center" wrapText="1"/>
    </xf>
    <xf numFmtId="176" fontId="5" fillId="6" borderId="1" xfId="29" applyNumberFormat="1" applyFont="1" applyBorder="1" applyAlignment="1">
      <alignment horizontal="center" vertical="center" wrapText="1"/>
    </xf>
    <xf numFmtId="0" fontId="5" fillId="6" borderId="10" xfId="29" applyFont="1" applyBorder="1" applyAlignment="1">
      <alignment horizontal="center" vertical="center" wrapText="1"/>
    </xf>
    <xf numFmtId="0" fontId="5" fillId="6" borderId="9" xfId="29" applyFont="1" applyBorder="1" applyAlignment="1">
      <alignment horizontal="center" vertical="center" wrapText="1"/>
    </xf>
    <xf numFmtId="0" fontId="6" fillId="0" borderId="0" xfId="0" applyFont="1" applyAlignment="1"/>
    <xf numFmtId="0" fontId="0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177" fontId="0" fillId="0" borderId="0" xfId="0" applyNumberFormat="1" applyAlignment="1"/>
    <xf numFmtId="0" fontId="0" fillId="0" borderId="0" xfId="52">
      <alignment vertical="center"/>
    </xf>
    <xf numFmtId="178" fontId="0" fillId="0" borderId="0" xfId="0" applyNumberFormat="1" applyAlignment="1"/>
    <xf numFmtId="179" fontId="0" fillId="0" borderId="0" xfId="52" applyNumberFormat="1">
      <alignment vertical="center"/>
    </xf>
    <xf numFmtId="179" fontId="0" fillId="0" borderId="0" xfId="0" applyNumberFormat="1" applyAlignment="1"/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3" fillId="1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 wrapText="1"/>
    </xf>
    <xf numFmtId="49" fontId="14" fillId="11" borderId="2" xfId="0" applyNumberFormat="1" applyFont="1" applyFill="1" applyBorder="1" applyAlignment="1">
      <alignment horizontal="center" vertical="center" wrapText="1"/>
    </xf>
    <xf numFmtId="0" fontId="12" fillId="0" borderId="1" xfId="52" applyFont="1" applyBorder="1" applyAlignment="1">
      <alignment horizontal="center" vertical="center"/>
    </xf>
    <xf numFmtId="179" fontId="12" fillId="12" borderId="1" xfId="52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4" fillId="11" borderId="9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9" fontId="12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9" fontId="5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11" borderId="1" xfId="0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9" fontId="8" fillId="11" borderId="1" xfId="0" applyNumberFormat="1" applyFont="1" applyFill="1" applyBorder="1" applyAlignment="1">
      <alignment horizontal="center" vertical="center"/>
    </xf>
    <xf numFmtId="179" fontId="8" fillId="1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9" fontId="0" fillId="0" borderId="0" xfId="0" applyNumberFormat="1" applyFont="1" applyAlignment="1"/>
    <xf numFmtId="0" fontId="0" fillId="0" borderId="1" xfId="0" applyFont="1" applyBorder="1">
      <alignment vertical="center"/>
    </xf>
    <xf numFmtId="0" fontId="16" fillId="0" borderId="1" xfId="0" applyNumberFormat="1" applyFont="1" applyFill="1" applyBorder="1" applyAlignment="1">
      <alignment horizontal="center" vertical="center" wrapText="1"/>
    </xf>
    <xf numFmtId="179" fontId="7" fillId="0" borderId="0" xfId="0" applyNumberFormat="1" applyFont="1" applyAlignment="1"/>
    <xf numFmtId="180" fontId="5" fillId="0" borderId="1" xfId="0" applyNumberFormat="1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2" xfId="52"/>
    <cellStyle name="常规 2 2" xfId="53"/>
    <cellStyle name="常规 2 3" xfId="54"/>
    <cellStyle name="常规 3" xfId="55"/>
    <cellStyle name="常规 3 2" xfId="56"/>
    <cellStyle name="常规 3 3" xfId="57"/>
    <cellStyle name="常规 4" xfId="58"/>
    <cellStyle name="常规 5" xfId="59"/>
    <cellStyle name="常规 6" xfId="60"/>
    <cellStyle name="常规 7" xfId="61"/>
    <cellStyle name="常规 8" xfId="62"/>
    <cellStyle name="常规 9" xfId="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286"/>
  <sheetViews>
    <sheetView tabSelected="1" workbookViewId="0">
      <pane xSplit="18" ySplit="4" topLeftCell="S41" activePane="bottomRight" state="frozen"/>
      <selection/>
      <selection pane="topRight"/>
      <selection pane="bottomLeft"/>
      <selection pane="bottomRight" activeCell="V59" sqref="V59"/>
    </sheetView>
  </sheetViews>
  <sheetFormatPr defaultColWidth="9" defaultRowHeight="15"/>
  <cols>
    <col min="1" max="1" width="5.625" style="62" customWidth="1"/>
    <col min="2" max="2" width="16.625" customWidth="1"/>
    <col min="3" max="3" width="10.25" customWidth="1"/>
    <col min="4" max="4" width="5.75" customWidth="1"/>
    <col min="5" max="5" width="11.25" customWidth="1"/>
    <col min="6" max="6" width="10.5" customWidth="1"/>
    <col min="7" max="7" width="11.875" style="63" customWidth="1"/>
    <col min="8" max="8" width="8.125" customWidth="1"/>
    <col min="9" max="9" width="9.75" style="64" customWidth="1"/>
    <col min="10" max="10" width="5.625" customWidth="1"/>
    <col min="11" max="11" width="7.75" style="65" customWidth="1"/>
    <col min="12" max="12" width="5.625" customWidth="1"/>
    <col min="13" max="13" width="5.75" customWidth="1"/>
    <col min="14" max="14" width="5.625" customWidth="1"/>
    <col min="15" max="15" width="9.75" customWidth="1"/>
    <col min="16" max="16" width="5.625" customWidth="1"/>
    <col min="17" max="17" width="15" customWidth="1"/>
    <col min="18" max="18" width="10.25" style="66" customWidth="1"/>
    <col min="19" max="19" width="13.875" customWidth="1"/>
    <col min="20" max="20" width="7.5" style="67" customWidth="1"/>
    <col min="21" max="21" width="7.625" style="67" customWidth="1"/>
    <col min="22" max="22" width="6.5" customWidth="1"/>
  </cols>
  <sheetData>
    <row r="1" ht="33" spans="1:22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9"/>
      <c r="U1" s="69"/>
      <c r="V1" s="69"/>
    </row>
    <row r="2" ht="31.9" customHeight="1" spans="1:22">
      <c r="A2" s="70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69"/>
      <c r="U2" s="69"/>
      <c r="V2" s="69"/>
    </row>
    <row r="3" spans="1:22">
      <c r="A3" s="71" t="s">
        <v>2</v>
      </c>
      <c r="B3" s="72" t="s">
        <v>3</v>
      </c>
      <c r="C3" s="72" t="s">
        <v>4</v>
      </c>
      <c r="D3" s="73" t="s">
        <v>5</v>
      </c>
      <c r="E3" s="74" t="s">
        <v>6</v>
      </c>
      <c r="F3" s="74" t="s">
        <v>7</v>
      </c>
      <c r="G3" s="75" t="s">
        <v>8</v>
      </c>
      <c r="H3" s="76" t="s">
        <v>9</v>
      </c>
      <c r="I3" s="77" t="s">
        <v>10</v>
      </c>
      <c r="J3" s="77"/>
      <c r="K3" s="77"/>
      <c r="L3" s="77"/>
      <c r="M3" s="77"/>
      <c r="N3" s="77"/>
      <c r="O3" s="77"/>
      <c r="P3" s="77"/>
      <c r="Q3" s="77"/>
      <c r="R3" s="78" t="s">
        <v>11</v>
      </c>
      <c r="S3" s="79" t="s">
        <v>12</v>
      </c>
    </row>
    <row r="4" s="59" customFormat="1" ht="30" spans="1:22">
      <c r="A4" s="71"/>
      <c r="B4" s="72"/>
      <c r="C4" s="72"/>
      <c r="D4" s="73"/>
      <c r="E4" s="74"/>
      <c r="F4" s="74" t="s">
        <v>13</v>
      </c>
      <c r="G4" s="75" t="s">
        <v>13</v>
      </c>
      <c r="H4" s="80"/>
      <c r="I4" s="81" t="s">
        <v>14</v>
      </c>
      <c r="J4" s="82" t="s">
        <v>15</v>
      </c>
      <c r="K4" s="83" t="s">
        <v>16</v>
      </c>
      <c r="L4" s="82" t="s">
        <v>15</v>
      </c>
      <c r="M4" s="71" t="s">
        <v>17</v>
      </c>
      <c r="N4" s="82" t="s">
        <v>15</v>
      </c>
      <c r="O4" s="71" t="s">
        <v>18</v>
      </c>
      <c r="P4" s="82" t="s">
        <v>15</v>
      </c>
      <c r="Q4" s="84" t="s">
        <v>9</v>
      </c>
      <c r="R4" s="78"/>
      <c r="S4" s="79"/>
    </row>
    <row r="5" spans="1:22">
      <c r="A5" s="85">
        <v>1</v>
      </c>
      <c r="B5" s="86" t="s">
        <v>19</v>
      </c>
      <c r="C5" s="87" t="s">
        <v>20</v>
      </c>
      <c r="D5" s="88" t="s">
        <v>21</v>
      </c>
      <c r="E5" s="89" t="s">
        <v>22</v>
      </c>
      <c r="F5" s="90"/>
      <c r="G5" s="91"/>
      <c r="H5" s="92">
        <f t="shared" ref="H5:H34" si="0">Q5</f>
        <v>58.5</v>
      </c>
      <c r="I5" s="93">
        <v>2</v>
      </c>
      <c r="J5" s="94">
        <f>IF(I5&lt;&gt;"",IF(D5="男",HLOOKUP(I5,各项评分标准!$12:$14,3,1),HLOOKUP(I5,各项评分标准!$13:$14,2,1)),0)</f>
        <v>20</v>
      </c>
      <c r="K5" s="95">
        <v>3.54</v>
      </c>
      <c r="L5" s="94">
        <f>IF(K5&lt;&gt;"",IF(D5="男",HLOOKUP(K5,各项评分标准!$16:$18,3,1),HLOOKUP(K5,各项评分标准!$17:$18,2,1)),0)</f>
        <v>74</v>
      </c>
      <c r="M5" s="85">
        <v>7.55</v>
      </c>
      <c r="N5" s="94">
        <f>IF(M5&lt;&gt;"",IF(D5="男",HLOOKUP(M5,各项评分标准!$4:$6,3,1),HLOOKUP(M5,各项评分标准!$5:$6,2,1)),0)</f>
        <v>74</v>
      </c>
      <c r="O5" s="85">
        <v>223</v>
      </c>
      <c r="P5" s="94">
        <f>IF(O5&lt;&gt;"",IF(D5="男",HLOOKUP(O5,各项评分标准!$8:$10,3,1),HLOOKUP(O5,各项评分标准!$9:$10,2,1)),0)</f>
        <v>66</v>
      </c>
      <c r="Q5" s="96">
        <f>(J5+L5+N5+P5)/4</f>
        <v>58.5</v>
      </c>
      <c r="R5" s="97">
        <f>F5*10%+G5*10%+H5*80%</f>
        <v>46.8</v>
      </c>
      <c r="S5" s="98"/>
    </row>
    <row r="6" spans="1:22">
      <c r="A6" s="85">
        <v>2</v>
      </c>
      <c r="B6" s="86" t="s">
        <v>23</v>
      </c>
      <c r="C6" s="86" t="s">
        <v>24</v>
      </c>
      <c r="D6" s="88" t="s">
        <v>21</v>
      </c>
      <c r="E6" s="89" t="s">
        <v>25</v>
      </c>
      <c r="F6" s="90"/>
      <c r="G6" s="91"/>
      <c r="H6" s="92">
        <f t="shared" si="0"/>
        <v>70</v>
      </c>
      <c r="I6" s="93">
        <v>5</v>
      </c>
      <c r="J6" s="94">
        <f>IF(I6&lt;&gt;"",IF(D6="男",HLOOKUP(I6,各项评分标准!$12:$14,3,1),HLOOKUP(I6,各项评分标准!$13:$14,2,1)),0)</f>
        <v>50</v>
      </c>
      <c r="K6" s="95">
        <v>3.59</v>
      </c>
      <c r="L6" s="94">
        <f>IF(K6&lt;&gt;"",IF(D6="男",HLOOKUP(K6,各项评分标准!$16:$18,3,1),HLOOKUP(K6,各项评分标准!$17:$18,2,1)),0)</f>
        <v>72</v>
      </c>
      <c r="M6" s="85">
        <v>7.11</v>
      </c>
      <c r="N6" s="94">
        <f>IF(M6&lt;&gt;"",IF(D6="男",HLOOKUP(M6,各项评分标准!$4:$6,3,1),HLOOKUP(M6,各项评分标准!$5:$6,2,1)),0)</f>
        <v>78</v>
      </c>
      <c r="O6" s="85">
        <v>250</v>
      </c>
      <c r="P6" s="94">
        <f>IF(O6&lt;&gt;"",IF(D6="男",HLOOKUP(O6,各项评分标准!$8:$10,3,1),HLOOKUP(O6,各项评分标准!$9:$10,2,1)),0)</f>
        <v>80</v>
      </c>
      <c r="Q6" s="96">
        <f t="shared" ref="Q6:Q69" si="1">(J6+L6+N6+P6)/4</f>
        <v>70</v>
      </c>
      <c r="R6" s="97">
        <f t="shared" ref="R6:R69" si="2">F6*10%+G6*10%+H6*80%</f>
        <v>56</v>
      </c>
      <c r="S6" s="98"/>
    </row>
    <row r="7" spans="1:22">
      <c r="A7" s="85">
        <v>3</v>
      </c>
      <c r="B7" s="86" t="s">
        <v>26</v>
      </c>
      <c r="C7" s="87" t="s">
        <v>27</v>
      </c>
      <c r="D7" s="88" t="s">
        <v>28</v>
      </c>
      <c r="E7" s="89" t="s">
        <v>22</v>
      </c>
      <c r="F7" s="90"/>
      <c r="G7" s="91"/>
      <c r="H7" s="92">
        <f t="shared" si="0"/>
        <v>71.5</v>
      </c>
      <c r="I7" s="93">
        <v>41</v>
      </c>
      <c r="J7" s="94">
        <f>IF(I7&lt;&gt;"",IF(D7="男",HLOOKUP(I7,各项评分标准!$12:$14,3,1),HLOOKUP(I7,各项评分标准!$13:$14,2,1)),0)</f>
        <v>74</v>
      </c>
      <c r="K7" s="95">
        <v>4.3</v>
      </c>
      <c r="L7" s="94">
        <f>IF(K7&lt;&gt;"",IF(D7="男",HLOOKUP(K7,各项评分标准!$16:$18,3,1),HLOOKUP(K7,各项评分标准!$17:$18,2,1)),0)</f>
        <v>60</v>
      </c>
      <c r="M7" s="85">
        <v>8.97</v>
      </c>
      <c r="N7" s="94">
        <f>IF(M7&lt;&gt;"",IF(D7="男",HLOOKUP(M7,各项评分标准!$4:$6,3,1),HLOOKUP(M7,各项评分标准!$5:$6,2,1)),0)</f>
        <v>72</v>
      </c>
      <c r="O7" s="85">
        <v>184</v>
      </c>
      <c r="P7" s="94">
        <f>IF(O7&lt;&gt;"",IF(D7="男",HLOOKUP(O7,各项评分标准!$8:$10,3,1),HLOOKUP(O7,各项评分标准!$9:$10,2,1)),0)</f>
        <v>80</v>
      </c>
      <c r="Q7" s="96">
        <f t="shared" si="1"/>
        <v>71.5</v>
      </c>
      <c r="R7" s="97">
        <f t="shared" si="2"/>
        <v>57.2</v>
      </c>
      <c r="S7" s="98"/>
    </row>
    <row r="8" spans="1:22">
      <c r="A8" s="85">
        <v>4</v>
      </c>
      <c r="B8" s="86" t="s">
        <v>29</v>
      </c>
      <c r="C8" s="87" t="s">
        <v>30</v>
      </c>
      <c r="D8" s="88" t="s">
        <v>21</v>
      </c>
      <c r="E8" s="89" t="s">
        <v>25</v>
      </c>
      <c r="F8" s="90"/>
      <c r="G8" s="91"/>
      <c r="H8" s="92">
        <f t="shared" si="0"/>
        <v>61.5</v>
      </c>
      <c r="I8" s="93">
        <v>5</v>
      </c>
      <c r="J8" s="94">
        <f>IF(I8&lt;&gt;"",IF(D8="男",HLOOKUP(I8,各项评分标准!$12:$14,3,1),HLOOKUP(I8,各项评分标准!$13:$14,2,1)),0)</f>
        <v>50</v>
      </c>
      <c r="K8" s="95">
        <v>4.25</v>
      </c>
      <c r="L8" s="94">
        <f>IF(K8&lt;&gt;"",IF(D8="男",HLOOKUP(K8,各项评分标准!$16:$18,3,1),HLOOKUP(K8,各项评分标准!$17:$18,2,1)),0)</f>
        <v>62</v>
      </c>
      <c r="M8" s="85">
        <v>7.69</v>
      </c>
      <c r="N8" s="94">
        <f>IF(M8&lt;&gt;"",IF(D8="男",HLOOKUP(M8,各项评分标准!$4:$6,3,1),HLOOKUP(M8,各项评分标准!$5:$6,2,1)),0)</f>
        <v>74</v>
      </c>
      <c r="O8" s="85">
        <v>212</v>
      </c>
      <c r="P8" s="94">
        <f>IF(O8&lt;&gt;"",IF(D8="男",HLOOKUP(O8,各项评分标准!$8:$10,3,1),HLOOKUP(O8,各项评分标准!$9:$10,2,1)),0)</f>
        <v>60</v>
      </c>
      <c r="Q8" s="96">
        <f t="shared" si="1"/>
        <v>61.5</v>
      </c>
      <c r="R8" s="97">
        <f t="shared" si="2"/>
        <v>49.2</v>
      </c>
      <c r="S8" s="98"/>
    </row>
    <row r="9" spans="1:22">
      <c r="A9" s="85">
        <v>5</v>
      </c>
      <c r="B9" s="86" t="s">
        <v>31</v>
      </c>
      <c r="C9" s="87" t="s">
        <v>32</v>
      </c>
      <c r="D9" s="88" t="s">
        <v>21</v>
      </c>
      <c r="E9" s="89" t="s">
        <v>22</v>
      </c>
      <c r="F9" s="90"/>
      <c r="G9" s="91"/>
      <c r="H9" s="92">
        <f t="shared" si="0"/>
        <v>82.75</v>
      </c>
      <c r="I9" s="93">
        <v>11</v>
      </c>
      <c r="J9" s="94">
        <f>IF(I9&lt;&gt;"",IF(D9="男",HLOOKUP(I9,各项评分标准!$12:$14,3,1),HLOOKUP(I9,各项评分标准!$13:$14,2,1)),0)</f>
        <v>101</v>
      </c>
      <c r="K9" s="95">
        <v>4.01</v>
      </c>
      <c r="L9" s="94">
        <f>IF(K9&lt;&gt;"",IF(D9="男",HLOOKUP(K9,各项评分标准!$16:$18,3,1),HLOOKUP(K9,各项评分标准!$17:$18,2,1)),0)</f>
        <v>70</v>
      </c>
      <c r="M9" s="85">
        <v>7.07</v>
      </c>
      <c r="N9" s="94">
        <f>IF(M9&lt;&gt;"",IF(D9="男",HLOOKUP(M9,各项评分标准!$4:$6,3,1),HLOOKUP(M9,各项评分标准!$5:$6,2,1)),0)</f>
        <v>80</v>
      </c>
      <c r="O9" s="85">
        <v>253</v>
      </c>
      <c r="P9" s="94">
        <f>IF(O9&lt;&gt;"",IF(D9="男",HLOOKUP(O9,各项评分标准!$8:$10,3,1),HLOOKUP(O9,各项评分标准!$9:$10,2,1)),0)</f>
        <v>80</v>
      </c>
      <c r="Q9" s="96">
        <f t="shared" si="1"/>
        <v>82.75</v>
      </c>
      <c r="R9" s="97">
        <f t="shared" si="2"/>
        <v>66.2</v>
      </c>
      <c r="S9" s="98"/>
    </row>
    <row r="10" spans="1:22">
      <c r="A10" s="85">
        <v>6</v>
      </c>
      <c r="B10" s="86" t="s">
        <v>33</v>
      </c>
      <c r="C10" s="87" t="s">
        <v>34</v>
      </c>
      <c r="D10" s="88" t="s">
        <v>21</v>
      </c>
      <c r="E10" s="89" t="s">
        <v>25</v>
      </c>
      <c r="F10" s="90"/>
      <c r="G10" s="91"/>
      <c r="H10" s="92">
        <f t="shared" si="0"/>
        <v>0</v>
      </c>
      <c r="I10" s="93"/>
      <c r="J10" s="94">
        <f>IF(I10&lt;&gt;"",IF(D10="男",HLOOKUP(I10,各项评分标准!$12:$14,3,1),HLOOKUP(I10,各项评分标准!$13:$14,2,1)),0)</f>
        <v>0</v>
      </c>
      <c r="K10" s="95"/>
      <c r="L10" s="94">
        <f>IF(K10&lt;&gt;"",IF(D10="男",HLOOKUP(K10,各项评分标准!$16:$18,3,1),HLOOKUP(K10,各项评分标准!$17:$18,2,1)),0)</f>
        <v>0</v>
      </c>
      <c r="M10" s="85"/>
      <c r="N10" s="94">
        <f>IF(M10&lt;&gt;"",IF(D10="男",HLOOKUP(M10,各项评分标准!$4:$6,3,1),HLOOKUP(M10,各项评分标准!$5:$6,2,1)),0)</f>
        <v>0</v>
      </c>
      <c r="O10" s="85"/>
      <c r="P10" s="94">
        <f>IF(O10&lt;&gt;"",IF(D10="男",HLOOKUP(O10,各项评分标准!$8:$10,3,1),HLOOKUP(O10,各项评分标准!$9:$10,2,1)),0)</f>
        <v>0</v>
      </c>
      <c r="Q10" s="96">
        <f t="shared" si="1"/>
        <v>0</v>
      </c>
      <c r="R10" s="97">
        <f t="shared" si="2"/>
        <v>0</v>
      </c>
      <c r="S10" s="98"/>
    </row>
    <row r="11" spans="1:22">
      <c r="A11" s="85">
        <v>7</v>
      </c>
      <c r="B11" s="86" t="s">
        <v>35</v>
      </c>
      <c r="C11" s="87" t="s">
        <v>36</v>
      </c>
      <c r="D11" s="88" t="s">
        <v>21</v>
      </c>
      <c r="E11" s="89" t="s">
        <v>22</v>
      </c>
      <c r="F11" s="90"/>
      <c r="G11" s="91"/>
      <c r="H11" s="92">
        <f t="shared" si="0"/>
        <v>82.75</v>
      </c>
      <c r="I11" s="93">
        <v>19</v>
      </c>
      <c r="J11" s="94">
        <f>IF(I11&lt;&gt;"",IF(D11="男",HLOOKUP(I11,各项评分标准!$12:$14,3,1),HLOOKUP(I11,各项评分标准!$13:$14,2,1)),0)</f>
        <v>109</v>
      </c>
      <c r="K11" s="95">
        <v>3.52</v>
      </c>
      <c r="L11" s="94">
        <f>IF(K11&lt;&gt;"",IF(D11="男",HLOOKUP(K11,各项评分标准!$16:$18,3,1),HLOOKUP(K11,各项评分标准!$17:$18,2,1)),0)</f>
        <v>74</v>
      </c>
      <c r="M11" s="85">
        <v>7.53</v>
      </c>
      <c r="N11" s="94">
        <f>IF(M11&lt;&gt;"",IF(D11="男",HLOOKUP(M11,各项评分标准!$4:$6,3,1),HLOOKUP(M11,各项评分标准!$5:$6,2,1)),0)</f>
        <v>74</v>
      </c>
      <c r="O11" s="85">
        <v>240</v>
      </c>
      <c r="P11" s="94">
        <f>IF(O11&lt;&gt;"",IF(D11="男",HLOOKUP(O11,各项评分标准!$8:$10,3,1),HLOOKUP(O11,各项评分标准!$9:$10,2,1)),0)</f>
        <v>74</v>
      </c>
      <c r="Q11" s="96">
        <f t="shared" si="1"/>
        <v>82.75</v>
      </c>
      <c r="R11" s="97">
        <f t="shared" si="2"/>
        <v>66.2</v>
      </c>
      <c r="S11" s="98"/>
    </row>
    <row r="12" spans="1:22">
      <c r="A12" s="85">
        <v>8</v>
      </c>
      <c r="B12" s="86" t="s">
        <v>37</v>
      </c>
      <c r="C12" s="86" t="s">
        <v>38</v>
      </c>
      <c r="D12" s="88" t="s">
        <v>28</v>
      </c>
      <c r="E12" s="89" t="s">
        <v>25</v>
      </c>
      <c r="F12" s="90"/>
      <c r="G12" s="91"/>
      <c r="H12" s="92">
        <f t="shared" si="0"/>
        <v>83.5</v>
      </c>
      <c r="I12" s="93">
        <v>47</v>
      </c>
      <c r="J12" s="94">
        <f>IF(I12&lt;&gt;"",IF(D12="男",HLOOKUP(I12,各项评分标准!$12:$14,3,1),HLOOKUP(I12,各项评分标准!$13:$14,2,1)),0)</f>
        <v>80</v>
      </c>
      <c r="K12" s="95">
        <v>3.51</v>
      </c>
      <c r="L12" s="94">
        <f>IF(K12&lt;&gt;"",IF(D12="男",HLOOKUP(K12,各项评分标准!$16:$18,3,1),HLOOKUP(K12,各项评分标准!$17:$18,2,1)),0)</f>
        <v>76</v>
      </c>
      <c r="M12" s="85">
        <v>8.39</v>
      </c>
      <c r="N12" s="94">
        <f>IF(M12&lt;&gt;"",IF(D12="男",HLOOKUP(M12,各项评分标准!$4:$6,3,1),HLOOKUP(M12,各项评分标准!$5:$6,2,1)),0)</f>
        <v>78</v>
      </c>
      <c r="O12" s="85">
        <v>208</v>
      </c>
      <c r="P12" s="94">
        <f>IF(O12&lt;&gt;"",IF(D12="男",HLOOKUP(O12,各项评分标准!$8:$10,3,1),HLOOKUP(O12,各项评分标准!$9:$10,2,1)),0)</f>
        <v>100</v>
      </c>
      <c r="Q12" s="96">
        <f t="shared" si="1"/>
        <v>83.5</v>
      </c>
      <c r="R12" s="97">
        <f t="shared" si="2"/>
        <v>66.8</v>
      </c>
      <c r="S12" s="98"/>
    </row>
    <row r="13" spans="1:22">
      <c r="A13" s="85">
        <v>9</v>
      </c>
      <c r="B13" s="86" t="s">
        <v>39</v>
      </c>
      <c r="C13" s="87" t="s">
        <v>40</v>
      </c>
      <c r="D13" s="88" t="s">
        <v>21</v>
      </c>
      <c r="E13" s="89" t="s">
        <v>22</v>
      </c>
      <c r="F13" s="90"/>
      <c r="G13" s="91"/>
      <c r="H13" s="92">
        <f t="shared" si="0"/>
        <v>0</v>
      </c>
      <c r="I13" s="93"/>
      <c r="J13" s="94">
        <f>IF(I13&lt;&gt;"",IF(D13="男",HLOOKUP(I13,各项评分标准!$12:$14,3,1),HLOOKUP(I13,各项评分标准!$13:$14,2,1)),0)</f>
        <v>0</v>
      </c>
      <c r="K13" s="95"/>
      <c r="L13" s="94">
        <f>IF(K13&lt;&gt;"",IF(D13="男",HLOOKUP(K13,各项评分标准!$16:$18,3,1),HLOOKUP(K13,各项评分标准!$17:$18,2,1)),0)</f>
        <v>0</v>
      </c>
      <c r="M13" s="85"/>
      <c r="N13" s="94">
        <f>IF(M13&lt;&gt;"",IF(D13="男",HLOOKUP(M13,各项评分标准!$4:$6,3,1),HLOOKUP(M13,各项评分标准!$5:$6,2,1)),0)</f>
        <v>0</v>
      </c>
      <c r="O13" s="85"/>
      <c r="P13" s="94">
        <f>IF(O13&lt;&gt;"",IF(D13="男",HLOOKUP(O13,各项评分标准!$8:$10,3,1),HLOOKUP(O13,各项评分标准!$9:$10,2,1)),0)</f>
        <v>0</v>
      </c>
      <c r="Q13" s="96">
        <f t="shared" si="1"/>
        <v>0</v>
      </c>
      <c r="R13" s="97">
        <f t="shared" si="2"/>
        <v>0</v>
      </c>
      <c r="S13" s="98"/>
    </row>
    <row r="14" spans="1:22">
      <c r="A14" s="85">
        <v>10</v>
      </c>
      <c r="B14" s="86" t="s">
        <v>41</v>
      </c>
      <c r="C14" s="87" t="s">
        <v>42</v>
      </c>
      <c r="D14" s="88" t="s">
        <v>21</v>
      </c>
      <c r="E14" s="89" t="s">
        <v>25</v>
      </c>
      <c r="F14" s="90"/>
      <c r="G14" s="91"/>
      <c r="H14" s="92">
        <f t="shared" si="0"/>
        <v>74.5</v>
      </c>
      <c r="I14" s="93">
        <v>10</v>
      </c>
      <c r="J14" s="94">
        <f>IF(I14&lt;&gt;"",IF(D14="男",HLOOKUP(I14,各项评分标准!$12:$14,3,1),HLOOKUP(I14,各项评分标准!$13:$14,2,1)),0)</f>
        <v>100</v>
      </c>
      <c r="K14" s="95">
        <v>4.12</v>
      </c>
      <c r="L14" s="94">
        <f>IF(K14&lt;&gt;"",IF(D14="男",HLOOKUP(K14,各项评分标准!$16:$18,3,1),HLOOKUP(K14,各项评分标准!$17:$18,2,1)),0)</f>
        <v>66</v>
      </c>
      <c r="M14" s="85">
        <v>7.83</v>
      </c>
      <c r="N14" s="94">
        <f>IF(M14&lt;&gt;"",IF(D14="男",HLOOKUP(M14,各项评分标准!$4:$6,3,1),HLOOKUP(M14,各项评分标准!$5:$6,2,1)),0)</f>
        <v>72</v>
      </c>
      <c r="O14" s="85">
        <v>210</v>
      </c>
      <c r="P14" s="94">
        <f>IF(O14&lt;&gt;"",IF(D14="男",HLOOKUP(O14,各项评分标准!$8:$10,3,1),HLOOKUP(O14,各项评分标准!$9:$10,2,1)),0)</f>
        <v>60</v>
      </c>
      <c r="Q14" s="96">
        <f t="shared" si="1"/>
        <v>74.5</v>
      </c>
      <c r="R14" s="97">
        <f t="shared" si="2"/>
        <v>59.6</v>
      </c>
      <c r="S14" s="98"/>
    </row>
    <row r="15" spans="1:22">
      <c r="A15" s="85">
        <v>11</v>
      </c>
      <c r="B15" s="86" t="s">
        <v>43</v>
      </c>
      <c r="C15" s="87" t="s">
        <v>44</v>
      </c>
      <c r="D15" s="88" t="s">
        <v>21</v>
      </c>
      <c r="E15" s="89" t="s">
        <v>22</v>
      </c>
      <c r="F15" s="90"/>
      <c r="G15" s="91"/>
      <c r="H15" s="92">
        <f t="shared" si="0"/>
        <v>50</v>
      </c>
      <c r="I15" s="93">
        <v>2</v>
      </c>
      <c r="J15" s="94">
        <f>IF(I15&lt;&gt;"",IF(D15="男",HLOOKUP(I15,各项评分标准!$12:$14,3,1),HLOOKUP(I15,各项评分标准!$13:$14,2,1)),0)</f>
        <v>20</v>
      </c>
      <c r="K15" s="95">
        <v>4.47</v>
      </c>
      <c r="L15" s="94">
        <f>IF(K15&lt;&gt;"",IF(D15="男",HLOOKUP(K15,各项评分标准!$16:$18,3,1),HLOOKUP(K15,各项评分标准!$17:$18,2,1)),0)</f>
        <v>50</v>
      </c>
      <c r="M15" s="85">
        <v>8.13</v>
      </c>
      <c r="N15" s="94">
        <f>IF(M15&lt;&gt;"",IF(D15="男",HLOOKUP(M15,各项评分标准!$4:$6,3,1),HLOOKUP(M15,各项评分标准!$5:$6,2,1)),0)</f>
        <v>68</v>
      </c>
      <c r="O15" s="85">
        <v>216</v>
      </c>
      <c r="P15" s="94">
        <f>IF(O15&lt;&gt;"",IF(D15="男",HLOOKUP(O15,各项评分标准!$8:$10,3,1),HLOOKUP(O15,各项评分标准!$9:$10,2,1)),0)</f>
        <v>62</v>
      </c>
      <c r="Q15" s="96">
        <f t="shared" si="1"/>
        <v>50</v>
      </c>
      <c r="R15" s="97">
        <f t="shared" si="2"/>
        <v>40</v>
      </c>
      <c r="S15" s="98"/>
    </row>
    <row r="16" spans="1:22">
      <c r="A16" s="85">
        <v>12</v>
      </c>
      <c r="B16" s="86" t="s">
        <v>45</v>
      </c>
      <c r="C16" s="87" t="s">
        <v>46</v>
      </c>
      <c r="D16" s="88" t="s">
        <v>21</v>
      </c>
      <c r="E16" s="89" t="s">
        <v>25</v>
      </c>
      <c r="F16" s="90"/>
      <c r="G16" s="91"/>
      <c r="H16" s="92">
        <f t="shared" si="0"/>
        <v>50.5</v>
      </c>
      <c r="I16" s="93">
        <v>1</v>
      </c>
      <c r="J16" s="94">
        <f>IF(I16&lt;&gt;"",IF(D16="男",HLOOKUP(I16,各项评分标准!$12:$14,3,1),HLOOKUP(I16,各项评分标准!$13:$14,2,1)),0)</f>
        <v>10</v>
      </c>
      <c r="K16" s="95">
        <v>4.29</v>
      </c>
      <c r="L16" s="94">
        <f>IF(K16&lt;&gt;"",IF(D16="男",HLOOKUP(K16,各项评分标准!$16:$18,3,1),HLOOKUP(K16,各项评分标准!$17:$18,2,1)),0)</f>
        <v>60</v>
      </c>
      <c r="M16" s="85">
        <v>8.13</v>
      </c>
      <c r="N16" s="94">
        <f>IF(M16&lt;&gt;"",IF(D16="男",HLOOKUP(M16,各项评分标准!$4:$6,3,1),HLOOKUP(M16,各项评分标准!$5:$6,2,1)),0)</f>
        <v>68</v>
      </c>
      <c r="O16" s="85">
        <v>218</v>
      </c>
      <c r="P16" s="94">
        <f>IF(O16&lt;&gt;"",IF(D16="男",HLOOKUP(O16,各项评分标准!$8:$10,3,1),HLOOKUP(O16,各项评分标准!$9:$10,2,1)),0)</f>
        <v>64</v>
      </c>
      <c r="Q16" s="96">
        <f t="shared" si="1"/>
        <v>50.5</v>
      </c>
      <c r="R16" s="97">
        <f t="shared" si="2"/>
        <v>40.4</v>
      </c>
      <c r="S16" s="98"/>
    </row>
    <row r="17" spans="1:21">
      <c r="A17" s="85">
        <v>13</v>
      </c>
      <c r="B17" s="86" t="s">
        <v>47</v>
      </c>
      <c r="C17" s="87" t="s">
        <v>48</v>
      </c>
      <c r="D17" s="88" t="s">
        <v>21</v>
      </c>
      <c r="E17" s="89" t="s">
        <v>22</v>
      </c>
      <c r="F17" s="90"/>
      <c r="G17" s="91"/>
      <c r="H17" s="92">
        <f t="shared" si="0"/>
        <v>80.75</v>
      </c>
      <c r="I17" s="93">
        <v>17</v>
      </c>
      <c r="J17" s="94">
        <f>IF(I17&lt;&gt;"",IF(D17="男",HLOOKUP(I17,各项评分标准!$12:$14,3,1),HLOOKUP(I17,各项评分标准!$13:$14,2,1)),0)</f>
        <v>107</v>
      </c>
      <c r="K17" s="95">
        <v>3.49</v>
      </c>
      <c r="L17" s="94">
        <f>IF(K17&lt;&gt;"",IF(D17="男",HLOOKUP(K17,各项评分标准!$16:$18,3,1),HLOOKUP(K17,各项评分标准!$17:$18,2,1)),0)</f>
        <v>76</v>
      </c>
      <c r="M17" s="85">
        <v>7.53</v>
      </c>
      <c r="N17" s="94">
        <f>IF(M17&lt;&gt;"",IF(D17="男",HLOOKUP(M17,各项评分标准!$4:$6,3,1),HLOOKUP(M17,各项评分标准!$5:$6,2,1)),0)</f>
        <v>74</v>
      </c>
      <c r="O17" s="85">
        <v>222</v>
      </c>
      <c r="P17" s="94">
        <f>IF(O17&lt;&gt;"",IF(D17="男",HLOOKUP(O17,各项评分标准!$8:$10,3,1),HLOOKUP(O17,各项评分标准!$9:$10,2,1)),0)</f>
        <v>66</v>
      </c>
      <c r="Q17" s="96">
        <f t="shared" si="1"/>
        <v>80.75</v>
      </c>
      <c r="R17" s="97">
        <f t="shared" si="2"/>
        <v>64.6</v>
      </c>
      <c r="S17" s="98"/>
    </row>
    <row r="18" spans="1:21">
      <c r="A18" s="85">
        <v>14</v>
      </c>
      <c r="B18" s="86" t="s">
        <v>49</v>
      </c>
      <c r="C18" s="87" t="s">
        <v>50</v>
      </c>
      <c r="D18" s="88" t="s">
        <v>28</v>
      </c>
      <c r="E18" s="89" t="s">
        <v>25</v>
      </c>
      <c r="F18" s="90"/>
      <c r="G18" s="91"/>
      <c r="H18" s="92">
        <f t="shared" si="0"/>
        <v>88.5</v>
      </c>
      <c r="I18" s="93">
        <v>53</v>
      </c>
      <c r="J18" s="94">
        <f>IF(I18&lt;&gt;"",IF(D18="男",HLOOKUP(I18,各项评分标准!$12:$14,3,1),HLOOKUP(I18,各项评分标准!$13:$14,2,1)),0)</f>
        <v>90</v>
      </c>
      <c r="K18" s="95">
        <v>3.13</v>
      </c>
      <c r="L18" s="94">
        <f>IF(K18&lt;&gt;"",IF(D18="男",HLOOKUP(K18,各项评分标准!$16:$18,3,1),HLOOKUP(K18,各项评分标准!$17:$18,2,1)),0)</f>
        <v>100</v>
      </c>
      <c r="M18" s="85">
        <v>8.83</v>
      </c>
      <c r="N18" s="94">
        <f>IF(M18&lt;&gt;"",IF(D18="男",HLOOKUP(M18,各项评分标准!$4:$6,3,1),HLOOKUP(M18,各项评分标准!$5:$6,2,1)),0)</f>
        <v>74</v>
      </c>
      <c r="O18" s="85">
        <v>200</v>
      </c>
      <c r="P18" s="94">
        <f>IF(O18&lt;&gt;"",IF(D18="男",HLOOKUP(O18,各项评分标准!$8:$10,3,1),HLOOKUP(O18,各项评分标准!$9:$10,2,1)),0)</f>
        <v>90</v>
      </c>
      <c r="Q18" s="96">
        <f t="shared" si="1"/>
        <v>88.5</v>
      </c>
      <c r="R18" s="97">
        <f t="shared" si="2"/>
        <v>70.8</v>
      </c>
      <c r="S18" s="98"/>
    </row>
    <row r="19" spans="1:21">
      <c r="A19" s="85">
        <v>15</v>
      </c>
      <c r="B19" s="86" t="s">
        <v>51</v>
      </c>
      <c r="C19" s="87" t="s">
        <v>52</v>
      </c>
      <c r="D19" s="88" t="s">
        <v>21</v>
      </c>
      <c r="E19" s="89" t="s">
        <v>22</v>
      </c>
      <c r="F19" s="90"/>
      <c r="G19" s="91"/>
      <c r="H19" s="92">
        <f t="shared" si="0"/>
        <v>57</v>
      </c>
      <c r="I19" s="93">
        <v>2</v>
      </c>
      <c r="J19" s="94">
        <f>IF(I19&lt;&gt;"",IF(D19="男",HLOOKUP(I19,各项评分标准!$12:$14,3,1),HLOOKUP(I19,各项评分标准!$13:$14,2,1)),0)</f>
        <v>20</v>
      </c>
      <c r="K19" s="95">
        <v>4.14</v>
      </c>
      <c r="L19" s="94">
        <f>IF(K19&lt;&gt;"",IF(D19="男",HLOOKUP(K19,各项评分标准!$16:$18,3,1),HLOOKUP(K19,各项评分标准!$17:$18,2,1)),0)</f>
        <v>66</v>
      </c>
      <c r="M19" s="85">
        <v>7.82</v>
      </c>
      <c r="N19" s="94">
        <f>IF(M19&lt;&gt;"",IF(D19="男",HLOOKUP(M19,各项评分标准!$4:$6,3,1),HLOOKUP(M19,各项评分标准!$5:$6,2,1)),0)</f>
        <v>72</v>
      </c>
      <c r="O19" s="85">
        <v>232</v>
      </c>
      <c r="P19" s="94">
        <f>IF(O19&lt;&gt;"",IF(D19="男",HLOOKUP(O19,各项评分标准!$8:$10,3,1),HLOOKUP(O19,各项评分标准!$9:$10,2,1)),0)</f>
        <v>70</v>
      </c>
      <c r="Q19" s="96">
        <f t="shared" si="1"/>
        <v>57</v>
      </c>
      <c r="R19" s="97">
        <f t="shared" si="2"/>
        <v>45.6</v>
      </c>
      <c r="S19" s="98"/>
    </row>
    <row r="20" spans="1:21">
      <c r="A20" s="85">
        <v>16</v>
      </c>
      <c r="B20" s="86" t="s">
        <v>53</v>
      </c>
      <c r="C20" s="87" t="s">
        <v>54</v>
      </c>
      <c r="D20" s="88" t="s">
        <v>21</v>
      </c>
      <c r="E20" s="89" t="s">
        <v>25</v>
      </c>
      <c r="F20" s="90"/>
      <c r="G20" s="91"/>
      <c r="H20" s="92">
        <f t="shared" si="0"/>
        <v>65</v>
      </c>
      <c r="I20" s="93">
        <v>4</v>
      </c>
      <c r="J20" s="94">
        <f>IF(I20&lt;&gt;"",IF(D20="男",HLOOKUP(I20,各项评分标准!$12:$14,3,1),HLOOKUP(I20,各项评分标准!$13:$14,2,1)),0)</f>
        <v>40</v>
      </c>
      <c r="K20" s="95">
        <v>3.33</v>
      </c>
      <c r="L20" s="94">
        <f>IF(K20&lt;&gt;"",IF(D20="男",HLOOKUP(K20,各项评分标准!$16:$18,3,1),HLOOKUP(K20,各项评分标准!$17:$18,2,1)),0)</f>
        <v>80</v>
      </c>
      <c r="M20" s="85">
        <v>7.06</v>
      </c>
      <c r="N20" s="94">
        <f>IF(M20&lt;&gt;"",IF(D20="男",HLOOKUP(M20,各项评分标准!$4:$6,3,1),HLOOKUP(M20,各项评分标准!$5:$6,2,1)),0)</f>
        <v>80</v>
      </c>
      <c r="O20" s="85">
        <v>210</v>
      </c>
      <c r="P20" s="94">
        <f>IF(O20&lt;&gt;"",IF(D20="男",HLOOKUP(O20,各项评分标准!$8:$10,3,1),HLOOKUP(O20,各项评分标准!$9:$10,2,1)),0)</f>
        <v>60</v>
      </c>
      <c r="Q20" s="96">
        <f t="shared" si="1"/>
        <v>65</v>
      </c>
      <c r="R20" s="97">
        <f t="shared" si="2"/>
        <v>52</v>
      </c>
      <c r="S20" s="98"/>
    </row>
    <row r="21" spans="1:21">
      <c r="A21" s="85">
        <v>17</v>
      </c>
      <c r="B21" s="86" t="s">
        <v>55</v>
      </c>
      <c r="C21" s="87" t="s">
        <v>56</v>
      </c>
      <c r="D21" s="88" t="s">
        <v>21</v>
      </c>
      <c r="E21" s="89" t="s">
        <v>22</v>
      </c>
      <c r="F21" s="90"/>
      <c r="G21" s="91"/>
      <c r="H21" s="92">
        <f t="shared" si="0"/>
        <v>73.5</v>
      </c>
      <c r="I21" s="93">
        <v>8</v>
      </c>
      <c r="J21" s="94">
        <f>IF(I21&lt;&gt;"",IF(D21="男",HLOOKUP(I21,各项评分标准!$12:$14,3,1),HLOOKUP(I21,各项评分标准!$13:$14,2,1)),0)</f>
        <v>80</v>
      </c>
      <c r="K21" s="95">
        <v>3.56</v>
      </c>
      <c r="L21" s="94">
        <f>IF(K21&lt;&gt;"",IF(D21="男",HLOOKUP(K21,各项评分标准!$16:$18,3,1),HLOOKUP(K21,各项评分标准!$17:$18,2,1)),0)</f>
        <v>72</v>
      </c>
      <c r="M21" s="85">
        <v>7.37</v>
      </c>
      <c r="N21" s="94">
        <f>IF(M21&lt;&gt;"",IF(D21="男",HLOOKUP(M21,各项评分标准!$4:$6,3,1),HLOOKUP(M21,各项评分标准!$5:$6,2,1)),0)</f>
        <v>76</v>
      </c>
      <c r="O21" s="85">
        <v>222</v>
      </c>
      <c r="P21" s="94">
        <f>IF(O21&lt;&gt;"",IF(D21="男",HLOOKUP(O21,各项评分标准!$8:$10,3,1),HLOOKUP(O21,各项评分标准!$9:$10,2,1)),0)</f>
        <v>66</v>
      </c>
      <c r="Q21" s="96">
        <f t="shared" si="1"/>
        <v>73.5</v>
      </c>
      <c r="R21" s="97">
        <f t="shared" si="2"/>
        <v>58.8</v>
      </c>
      <c r="S21" s="98"/>
    </row>
    <row r="22" spans="1:21">
      <c r="A22" s="85">
        <v>18</v>
      </c>
      <c r="B22" s="86" t="s">
        <v>57</v>
      </c>
      <c r="C22" s="87" t="s">
        <v>58</v>
      </c>
      <c r="D22" s="88" t="s">
        <v>21</v>
      </c>
      <c r="E22" s="89" t="s">
        <v>25</v>
      </c>
      <c r="F22" s="90"/>
      <c r="G22" s="91"/>
      <c r="H22" s="92">
        <f t="shared" si="0"/>
        <v>71.75</v>
      </c>
      <c r="I22" s="93">
        <v>4</v>
      </c>
      <c r="J22" s="94">
        <f>IF(I22&lt;&gt;"",IF(D22="男",HLOOKUP(I22,各项评分标准!$12:$14,3,1),HLOOKUP(I22,各项评分标准!$13:$14,2,1)),0)</f>
        <v>40</v>
      </c>
      <c r="K22" s="95">
        <v>3.58</v>
      </c>
      <c r="L22" s="94">
        <f>IF(K22&lt;&gt;"",IF(D22="男",HLOOKUP(K22,各项评分标准!$16:$18,3,1),HLOOKUP(K22,各项评分标准!$17:$18,2,1)),0)</f>
        <v>72</v>
      </c>
      <c r="M22" s="85">
        <v>6.83</v>
      </c>
      <c r="N22" s="94">
        <f>IF(M22&lt;&gt;"",IF(D22="男",HLOOKUP(M22,各项评分标准!$4:$6,3,1),HLOOKUP(M22,各项评分标准!$5:$6,2,1)),0)</f>
        <v>90</v>
      </c>
      <c r="O22" s="85">
        <v>258</v>
      </c>
      <c r="P22" s="94">
        <f>IF(O22&lt;&gt;"",IF(D22="男",HLOOKUP(O22,各项评分标准!$8:$10,3,1),HLOOKUP(O22,各项评分标准!$9:$10,2,1)),0)</f>
        <v>85</v>
      </c>
      <c r="Q22" s="96">
        <f t="shared" si="1"/>
        <v>71.75</v>
      </c>
      <c r="R22" s="97">
        <f t="shared" si="2"/>
        <v>57.4</v>
      </c>
      <c r="S22" s="98"/>
    </row>
    <row r="23" spans="1:21">
      <c r="A23" s="85">
        <v>19</v>
      </c>
      <c r="B23" s="86" t="s">
        <v>59</v>
      </c>
      <c r="C23" s="87" t="s">
        <v>60</v>
      </c>
      <c r="D23" s="88" t="s">
        <v>21</v>
      </c>
      <c r="E23" s="89" t="s">
        <v>22</v>
      </c>
      <c r="F23" s="90"/>
      <c r="G23" s="91"/>
      <c r="H23" s="92">
        <f t="shared" si="0"/>
        <v>77.5</v>
      </c>
      <c r="I23" s="93">
        <v>10</v>
      </c>
      <c r="J23" s="94">
        <f>IF(I23&lt;&gt;"",IF(D23="男",HLOOKUP(I23,各项评分标准!$12:$14,3,1),HLOOKUP(I23,各项评分标准!$13:$14,2,1)),0)</f>
        <v>100</v>
      </c>
      <c r="K23" s="95">
        <v>3.57</v>
      </c>
      <c r="L23" s="94">
        <f>IF(K23&lt;&gt;"",IF(D23="男",HLOOKUP(K23,各项评分标准!$16:$18,3,1),HLOOKUP(K23,各项评分标准!$17:$18,2,1)),0)</f>
        <v>72</v>
      </c>
      <c r="M23" s="95">
        <v>7.7</v>
      </c>
      <c r="N23" s="94">
        <f>IF(M23&lt;&gt;"",IF(D23="男",HLOOKUP(M23,各项评分标准!$4:$6,3,1),HLOOKUP(M23,各项评分标准!$5:$6,2,1)),0)</f>
        <v>72</v>
      </c>
      <c r="O23" s="85">
        <v>223</v>
      </c>
      <c r="P23" s="94">
        <f>IF(O23&lt;&gt;"",IF(D23="男",HLOOKUP(O23,各项评分标准!$8:$10,3,1),HLOOKUP(O23,各项评分标准!$9:$10,2,1)),0)</f>
        <v>66</v>
      </c>
      <c r="Q23" s="96">
        <f t="shared" si="1"/>
        <v>77.5</v>
      </c>
      <c r="R23" s="97">
        <f t="shared" si="2"/>
        <v>62</v>
      </c>
      <c r="S23" s="98"/>
    </row>
    <row r="24" spans="1:21">
      <c r="A24" s="85">
        <v>20</v>
      </c>
      <c r="B24" s="86" t="s">
        <v>61</v>
      </c>
      <c r="C24" s="87" t="s">
        <v>62</v>
      </c>
      <c r="D24" s="88" t="s">
        <v>28</v>
      </c>
      <c r="E24" s="89" t="s">
        <v>25</v>
      </c>
      <c r="F24" s="90"/>
      <c r="G24" s="91"/>
      <c r="H24" s="92">
        <f t="shared" si="0"/>
        <v>89.5</v>
      </c>
      <c r="I24" s="93">
        <v>55</v>
      </c>
      <c r="J24" s="94">
        <f>IF(I24&lt;&gt;"",IF(D24="男",HLOOKUP(I24,各项评分标准!$12:$14,3,1),HLOOKUP(I24,各项评分标准!$13:$14,2,1)),0)</f>
        <v>95</v>
      </c>
      <c r="K24" s="95">
        <v>3.23</v>
      </c>
      <c r="L24" s="94">
        <f>IF(K24&lt;&gt;"",IF(D24="男",HLOOKUP(K24,各项评分标准!$16:$18,3,1),HLOOKUP(K24,各项评分标准!$17:$18,2,1)),0)</f>
        <v>90</v>
      </c>
      <c r="M24" s="85">
        <v>8.35</v>
      </c>
      <c r="N24" s="94">
        <f>IF(M24&lt;&gt;"",IF(D24="男",HLOOKUP(M24,各项评分标准!$4:$6,3,1),HLOOKUP(M24,各项评分标准!$5:$6,2,1)),0)</f>
        <v>78</v>
      </c>
      <c r="O24" s="85">
        <v>205</v>
      </c>
      <c r="P24" s="94">
        <f>IF(O24&lt;&gt;"",IF(D24="男",HLOOKUP(O24,各项评分标准!$8:$10,3,1),HLOOKUP(O24,各项评分标准!$9:$10,2,1)),0)</f>
        <v>95</v>
      </c>
      <c r="Q24" s="96">
        <f t="shared" si="1"/>
        <v>89.5</v>
      </c>
      <c r="R24" s="97">
        <f t="shared" si="2"/>
        <v>71.6</v>
      </c>
      <c r="S24" s="98"/>
    </row>
    <row r="25" spans="1:21">
      <c r="A25" s="85">
        <v>21</v>
      </c>
      <c r="B25" s="86" t="s">
        <v>63</v>
      </c>
      <c r="C25" s="87" t="s">
        <v>64</v>
      </c>
      <c r="D25" s="88" t="s">
        <v>21</v>
      </c>
      <c r="E25" s="89" t="s">
        <v>22</v>
      </c>
      <c r="F25" s="90"/>
      <c r="G25" s="91"/>
      <c r="H25" s="92">
        <f t="shared" si="0"/>
        <v>75</v>
      </c>
      <c r="I25" s="93">
        <v>10</v>
      </c>
      <c r="J25" s="94">
        <f>IF(I25&lt;&gt;"",IF(D25="男",HLOOKUP(I25,各项评分标准!$12:$14,3,1),HLOOKUP(I25,各项评分标准!$13:$14,2,1)),0)</f>
        <v>100</v>
      </c>
      <c r="K25" s="95">
        <v>4.26</v>
      </c>
      <c r="L25" s="94">
        <f>IF(K25&lt;&gt;"",IF(D25="男",HLOOKUP(K25,各项评分标准!$16:$18,3,1),HLOOKUP(K25,各项评分标准!$17:$18,2,1)),0)</f>
        <v>60</v>
      </c>
      <c r="M25" s="85">
        <v>8.02</v>
      </c>
      <c r="N25" s="94">
        <f>IF(M25&lt;&gt;"",IF(D25="男",HLOOKUP(M25,各项评分标准!$4:$6,3,1),HLOOKUP(M25,各项评分标准!$5:$6,2,1)),0)</f>
        <v>70</v>
      </c>
      <c r="O25" s="85">
        <v>230</v>
      </c>
      <c r="P25" s="94">
        <f>IF(O25&lt;&gt;"",IF(D25="男",HLOOKUP(O25,各项评分标准!$8:$10,3,1),HLOOKUP(O25,各项评分标准!$9:$10,2,1)),0)</f>
        <v>70</v>
      </c>
      <c r="Q25" s="96">
        <f t="shared" si="1"/>
        <v>75</v>
      </c>
      <c r="R25" s="97">
        <f t="shared" si="2"/>
        <v>60</v>
      </c>
      <c r="S25" s="98"/>
    </row>
    <row r="26" spans="1:21">
      <c r="A26" s="85">
        <v>22</v>
      </c>
      <c r="B26" s="86" t="s">
        <v>65</v>
      </c>
      <c r="C26" s="87" t="s">
        <v>66</v>
      </c>
      <c r="D26" s="88" t="s">
        <v>21</v>
      </c>
      <c r="E26" s="89" t="s">
        <v>25</v>
      </c>
      <c r="F26" s="90"/>
      <c r="G26" s="91"/>
      <c r="H26" s="92">
        <f t="shared" si="0"/>
        <v>62.5</v>
      </c>
      <c r="I26" s="93">
        <v>4</v>
      </c>
      <c r="J26" s="94">
        <f>IF(I26&lt;&gt;"",IF(D26="男",HLOOKUP(I26,各项评分标准!$12:$14,3,1),HLOOKUP(I26,各项评分标准!$13:$14,2,1)),0)</f>
        <v>40</v>
      </c>
      <c r="K26" s="95">
        <v>4.28</v>
      </c>
      <c r="L26" s="94">
        <f>IF(K26&lt;&gt;"",IF(D26="男",HLOOKUP(K26,各项评分标准!$16:$18,3,1),HLOOKUP(K26,各项评分标准!$17:$18,2,1)),0)</f>
        <v>60</v>
      </c>
      <c r="M26" s="85">
        <v>7.54</v>
      </c>
      <c r="N26" s="94">
        <f>IF(M26&lt;&gt;"",IF(D26="男",HLOOKUP(M26,各项评分标准!$4:$6,3,1),HLOOKUP(M26,各项评分标准!$5:$6,2,1)),0)</f>
        <v>74</v>
      </c>
      <c r="O26" s="85">
        <v>245</v>
      </c>
      <c r="P26" s="94">
        <f>IF(O26&lt;&gt;"",IF(D26="男",HLOOKUP(O26,各项评分标准!$8:$10,3,1),HLOOKUP(O26,各项评分标准!$9:$10,2,1)),0)</f>
        <v>76</v>
      </c>
      <c r="Q26" s="96">
        <f t="shared" si="1"/>
        <v>62.5</v>
      </c>
      <c r="R26" s="97">
        <f t="shared" si="2"/>
        <v>50</v>
      </c>
      <c r="S26" s="98"/>
    </row>
    <row r="27" spans="1:21">
      <c r="A27" s="85">
        <v>23</v>
      </c>
      <c r="B27" s="86" t="s">
        <v>67</v>
      </c>
      <c r="C27" s="86" t="s">
        <v>68</v>
      </c>
      <c r="D27" s="88" t="s">
        <v>21</v>
      </c>
      <c r="E27" s="89" t="s">
        <v>22</v>
      </c>
      <c r="F27" s="90"/>
      <c r="G27" s="91"/>
      <c r="H27" s="92">
        <f t="shared" si="0"/>
        <v>70</v>
      </c>
      <c r="I27" s="93">
        <v>6</v>
      </c>
      <c r="J27" s="94">
        <f>IF(I27&lt;&gt;"",IF(D27="男",HLOOKUP(I27,各项评分标准!$12:$14,3,1),HLOOKUP(I27,各项评分标准!$13:$14,2,1)),0)</f>
        <v>60</v>
      </c>
      <c r="K27" s="95">
        <v>3.39</v>
      </c>
      <c r="L27" s="94">
        <f>IF(K27&lt;&gt;"",IF(D27="男",HLOOKUP(K27,各项评分标准!$16:$18,3,1),HLOOKUP(K27,各项评分标准!$17:$18,2,1)),0)</f>
        <v>80</v>
      </c>
      <c r="M27" s="95">
        <v>7</v>
      </c>
      <c r="N27" s="94">
        <f>IF(M27&lt;&gt;"",IF(D27="男",HLOOKUP(M27,各项评分标准!$4:$6,3,1),HLOOKUP(M27,各项评分标准!$5:$6,2,1)),0)</f>
        <v>80</v>
      </c>
      <c r="O27" s="85">
        <v>213</v>
      </c>
      <c r="P27" s="94">
        <f>IF(O27&lt;&gt;"",IF(D27="男",HLOOKUP(O27,各项评分标准!$8:$10,3,1),HLOOKUP(O27,各项评分标准!$9:$10,2,1)),0)</f>
        <v>60</v>
      </c>
      <c r="Q27" s="96">
        <f t="shared" si="1"/>
        <v>70</v>
      </c>
      <c r="R27" s="97">
        <f t="shared" si="2"/>
        <v>56</v>
      </c>
      <c r="S27" s="98"/>
    </row>
    <row r="28" spans="1:21">
      <c r="A28" s="85">
        <v>24</v>
      </c>
      <c r="B28" s="86" t="s">
        <v>69</v>
      </c>
      <c r="C28" s="87" t="s">
        <v>70</v>
      </c>
      <c r="D28" s="88" t="s">
        <v>21</v>
      </c>
      <c r="E28" s="89" t="s">
        <v>25</v>
      </c>
      <c r="F28" s="90"/>
      <c r="G28" s="91"/>
      <c r="H28" s="92">
        <f t="shared" si="0"/>
        <v>50</v>
      </c>
      <c r="I28" s="93">
        <v>0</v>
      </c>
      <c r="J28" s="94">
        <f>IF(I28&lt;&gt;"",IF(D28="男",HLOOKUP(I28,各项评分标准!$12:$14,3,1),HLOOKUP(I28,各项评分标准!$13:$14,2,1)),0)</f>
        <v>0</v>
      </c>
      <c r="K28" s="95">
        <v>4.3</v>
      </c>
      <c r="L28" s="94">
        <f>IF(K28&lt;&gt;"",IF(D28="男",HLOOKUP(K28,各项评分标准!$16:$18,3,1),HLOOKUP(K28,各项评分标准!$17:$18,2,1)),0)</f>
        <v>60</v>
      </c>
      <c r="M28" s="85">
        <v>7.52</v>
      </c>
      <c r="N28" s="94">
        <f>IF(M28&lt;&gt;"",IF(D28="男",HLOOKUP(M28,各项评分标准!$4:$6,3,1),HLOOKUP(M28,各项评分标准!$5:$6,2,1)),0)</f>
        <v>74</v>
      </c>
      <c r="O28" s="85">
        <v>225</v>
      </c>
      <c r="P28" s="94">
        <f>IF(O28&lt;&gt;"",IF(D28="男",HLOOKUP(O28,各项评分标准!$8:$10,3,1),HLOOKUP(O28,各项评分标准!$9:$10,2,1)),0)</f>
        <v>66</v>
      </c>
      <c r="Q28" s="96">
        <f t="shared" si="1"/>
        <v>50</v>
      </c>
      <c r="R28" s="97">
        <f t="shared" si="2"/>
        <v>40</v>
      </c>
      <c r="S28" s="98"/>
    </row>
    <row r="29" spans="1:21">
      <c r="A29" s="85">
        <v>25</v>
      </c>
      <c r="B29" s="86" t="s">
        <v>71</v>
      </c>
      <c r="C29" s="87" t="s">
        <v>72</v>
      </c>
      <c r="D29" s="88" t="s">
        <v>21</v>
      </c>
      <c r="E29" s="89" t="s">
        <v>22</v>
      </c>
      <c r="F29" s="90"/>
      <c r="G29" s="91"/>
      <c r="H29" s="92">
        <f t="shared" si="0"/>
        <v>80.25</v>
      </c>
      <c r="I29" s="93">
        <v>15</v>
      </c>
      <c r="J29" s="94">
        <f>IF(I29&lt;&gt;"",IF(D29="男",HLOOKUP(I29,各项评分标准!$12:$14,3,1),HLOOKUP(I29,各项评分标准!$13:$14,2,1)),0)</f>
        <v>105</v>
      </c>
      <c r="K29" s="95">
        <v>4.13</v>
      </c>
      <c r="L29" s="94">
        <f>IF(K29&lt;&gt;"",IF(D29="男",HLOOKUP(K29,各项评分标准!$16:$18,3,1),HLOOKUP(K29,各项评分标准!$17:$18,2,1)),0)</f>
        <v>66</v>
      </c>
      <c r="M29" s="95">
        <v>7.5</v>
      </c>
      <c r="N29" s="94">
        <f>IF(M29&lt;&gt;"",IF(D29="男",HLOOKUP(M29,各项评分标准!$4:$6,3,1),HLOOKUP(M29,各项评分标准!$5:$6,2,1)),0)</f>
        <v>74</v>
      </c>
      <c r="O29" s="85">
        <v>245</v>
      </c>
      <c r="P29" s="94">
        <f>IF(O29&lt;&gt;"",IF(D29="男",HLOOKUP(O29,各项评分标准!$8:$10,3,1),HLOOKUP(O29,各项评分标准!$9:$10,2,1)),0)</f>
        <v>76</v>
      </c>
      <c r="Q29" s="96">
        <f t="shared" si="1"/>
        <v>80.25</v>
      </c>
      <c r="R29" s="97">
        <f t="shared" si="2"/>
        <v>64.2</v>
      </c>
      <c r="S29" s="98"/>
    </row>
    <row r="30" s="60" customFormat="1" spans="1:21">
      <c r="A30" s="85">
        <v>26</v>
      </c>
      <c r="B30" s="86" t="s">
        <v>73</v>
      </c>
      <c r="C30" s="87" t="s">
        <v>74</v>
      </c>
      <c r="D30" s="88" t="s">
        <v>21</v>
      </c>
      <c r="E30" s="89" t="s">
        <v>25</v>
      </c>
      <c r="F30" s="90"/>
      <c r="G30" s="91"/>
      <c r="H30" s="92">
        <f t="shared" si="0"/>
        <v>88</v>
      </c>
      <c r="I30" s="93">
        <v>16</v>
      </c>
      <c r="J30" s="94">
        <f>IF(I30&lt;&gt;"",IF(D30="男",HLOOKUP(I30,各项评分标准!$12:$14,3,1),HLOOKUP(I30,各项评分标准!$13:$14,2,1)),0)</f>
        <v>106</v>
      </c>
      <c r="K30" s="95">
        <v>3.47</v>
      </c>
      <c r="L30" s="94">
        <f>IF(K30&lt;&gt;"",IF(D30="男",HLOOKUP(K30,各项评分标准!$16:$18,3,1),HLOOKUP(K30,各项评分标准!$17:$18,2,1)),0)</f>
        <v>76</v>
      </c>
      <c r="M30" s="95">
        <v>7</v>
      </c>
      <c r="N30" s="94">
        <f>IF(M30&lt;&gt;"",IF(D30="男",HLOOKUP(M30,各项评分标准!$4:$6,3,1),HLOOKUP(M30,各项评分标准!$5:$6,2,1)),0)</f>
        <v>80</v>
      </c>
      <c r="O30" s="85">
        <v>268</v>
      </c>
      <c r="P30" s="94">
        <f>IF(O30&lt;&gt;"",IF(D30="男",HLOOKUP(O30,各项评分标准!$8:$10,3,1),HLOOKUP(O30,各项评分标准!$9:$10,2,1)),0)</f>
        <v>90</v>
      </c>
      <c r="Q30" s="96">
        <f t="shared" si="1"/>
        <v>88</v>
      </c>
      <c r="R30" s="97">
        <f t="shared" si="2"/>
        <v>70.4</v>
      </c>
      <c r="S30" s="98"/>
      <c r="T30" s="99"/>
      <c r="U30" s="99"/>
    </row>
    <row r="31" spans="1:21">
      <c r="A31" s="85">
        <v>27</v>
      </c>
      <c r="B31" s="86" t="s">
        <v>75</v>
      </c>
      <c r="C31" s="87" t="s">
        <v>76</v>
      </c>
      <c r="D31" s="88" t="s">
        <v>28</v>
      </c>
      <c r="E31" s="89" t="s">
        <v>22</v>
      </c>
      <c r="F31" s="90"/>
      <c r="G31" s="91"/>
      <c r="H31" s="92">
        <f t="shared" si="0"/>
        <v>56</v>
      </c>
      <c r="I31" s="93">
        <v>37</v>
      </c>
      <c r="J31" s="94">
        <f>IF(I31&lt;&gt;"",IF(D31="男",HLOOKUP(I31,各项评分标准!$12:$14,3,1),HLOOKUP(I31,各项评分标准!$13:$14,2,1)),0)</f>
        <v>70</v>
      </c>
      <c r="K31" s="95">
        <v>5.19</v>
      </c>
      <c r="L31" s="94">
        <f>IF(K31&lt;&gt;"",IF(D31="男",HLOOKUP(K31,各项评分标准!$16:$18,3,1),HLOOKUP(K31,各项评分标准!$17:$18,2,1)),0)</f>
        <v>10</v>
      </c>
      <c r="M31" s="85">
        <v>9.34</v>
      </c>
      <c r="N31" s="94">
        <f>IF(M31&lt;&gt;"",IF(D31="男",HLOOKUP(M31,各项评分标准!$4:$6,3,1),HLOOKUP(M31,各项评分标准!$5:$6,2,1)),0)</f>
        <v>68</v>
      </c>
      <c r="O31" s="85">
        <v>178</v>
      </c>
      <c r="P31" s="94">
        <f>IF(O31&lt;&gt;"",IF(D31="男",HLOOKUP(O31,各项评分标准!$8:$10,3,1),HLOOKUP(O31,各项评分标准!$9:$10,2,1)),0)</f>
        <v>76</v>
      </c>
      <c r="Q31" s="96">
        <f t="shared" si="1"/>
        <v>56</v>
      </c>
      <c r="R31" s="97">
        <f t="shared" si="2"/>
        <v>44.8</v>
      </c>
      <c r="S31" s="100"/>
    </row>
    <row r="32" spans="1:21">
      <c r="A32" s="85">
        <v>28</v>
      </c>
      <c r="B32" s="86" t="s">
        <v>77</v>
      </c>
      <c r="C32" s="87" t="s">
        <v>78</v>
      </c>
      <c r="D32" s="88" t="s">
        <v>21</v>
      </c>
      <c r="E32" s="89" t="s">
        <v>25</v>
      </c>
      <c r="F32" s="90"/>
      <c r="G32" s="91"/>
      <c r="H32" s="92">
        <f t="shared" si="0"/>
        <v>51</v>
      </c>
      <c r="I32" s="93">
        <v>0</v>
      </c>
      <c r="J32" s="94">
        <f>IF(I32&lt;&gt;"",IF(D32="男",HLOOKUP(I32,各项评分标准!$12:$14,3,1),HLOOKUP(I32,各项评分标准!$13:$14,2,1)),0)</f>
        <v>0</v>
      </c>
      <c r="K32" s="95">
        <v>4.3</v>
      </c>
      <c r="L32" s="94">
        <f>IF(K32&lt;&gt;"",IF(D32="男",HLOOKUP(K32,各项评分标准!$16:$18,3,1),HLOOKUP(K32,各项评分标准!$17:$18,2,1)),0)</f>
        <v>60</v>
      </c>
      <c r="M32" s="85">
        <v>7.26</v>
      </c>
      <c r="N32" s="94">
        <f>IF(M32&lt;&gt;"",IF(D32="男",HLOOKUP(M32,各项评分标准!$4:$6,3,1),HLOOKUP(M32,各项评分标准!$5:$6,2,1)),0)</f>
        <v>78</v>
      </c>
      <c r="O32" s="85">
        <v>223</v>
      </c>
      <c r="P32" s="94">
        <f>IF(O32&lt;&gt;"",IF(D32="男",HLOOKUP(O32,各项评分标准!$8:$10,3,1),HLOOKUP(O32,各项评分标准!$9:$10,2,1)),0)</f>
        <v>66</v>
      </c>
      <c r="Q32" s="96">
        <f t="shared" si="1"/>
        <v>51</v>
      </c>
      <c r="R32" s="97">
        <f t="shared" si="2"/>
        <v>40.8</v>
      </c>
      <c r="S32" s="98"/>
    </row>
    <row r="33" spans="1:19">
      <c r="A33" s="85">
        <v>29</v>
      </c>
      <c r="B33" s="86" t="s">
        <v>79</v>
      </c>
      <c r="C33" s="87" t="s">
        <v>80</v>
      </c>
      <c r="D33" s="88" t="s">
        <v>21</v>
      </c>
      <c r="E33" s="89" t="s">
        <v>22</v>
      </c>
      <c r="F33" s="90"/>
      <c r="G33" s="91"/>
      <c r="H33" s="92">
        <f t="shared" si="0"/>
        <v>51.5</v>
      </c>
      <c r="I33" s="93">
        <v>1</v>
      </c>
      <c r="J33" s="94">
        <f>IF(I33&lt;&gt;"",IF(D33="男",HLOOKUP(I33,各项评分标准!$12:$14,3,1),HLOOKUP(I33,各项评分标准!$13:$14,2,1)),0)</f>
        <v>10</v>
      </c>
      <c r="K33" s="95">
        <v>4.48</v>
      </c>
      <c r="L33" s="94">
        <f>IF(K33&lt;&gt;"",IF(D33="男",HLOOKUP(K33,各项评分标准!$16:$18,3,1),HLOOKUP(K33,各项评分标准!$17:$18,2,1)),0)</f>
        <v>50</v>
      </c>
      <c r="M33" s="85">
        <v>7.49</v>
      </c>
      <c r="N33" s="94">
        <f>IF(M33&lt;&gt;"",IF(D33="男",HLOOKUP(M33,各项评分标准!$4:$6,3,1),HLOOKUP(M33,各项评分标准!$5:$6,2,1)),0)</f>
        <v>76</v>
      </c>
      <c r="O33" s="85">
        <v>230</v>
      </c>
      <c r="P33" s="94">
        <f>IF(O33&lt;&gt;"",IF(D33="男",HLOOKUP(O33,各项评分标准!$8:$10,3,1),HLOOKUP(O33,各项评分标准!$9:$10,2,1)),0)</f>
        <v>70</v>
      </c>
      <c r="Q33" s="96">
        <f t="shared" si="1"/>
        <v>51.5</v>
      </c>
      <c r="R33" s="97">
        <f t="shared" si="2"/>
        <v>41.2</v>
      </c>
      <c r="S33" s="98"/>
    </row>
    <row r="34" s="60" customFormat="1" spans="1:19">
      <c r="A34" s="85">
        <v>30</v>
      </c>
      <c r="B34" s="86" t="s">
        <v>81</v>
      </c>
      <c r="C34" s="87" t="s">
        <v>82</v>
      </c>
      <c r="D34" s="88" t="s">
        <v>21</v>
      </c>
      <c r="E34" s="89" t="s">
        <v>25</v>
      </c>
      <c r="F34" s="90"/>
      <c r="G34" s="91"/>
      <c r="H34" s="92">
        <f t="shared" si="0"/>
        <v>51</v>
      </c>
      <c r="I34" s="93">
        <v>0</v>
      </c>
      <c r="J34" s="94">
        <f>IF(I34&lt;&gt;"",IF(D34="男",HLOOKUP(I34,各项评分标准!$12:$14,3,1),HLOOKUP(I34,各项评分标准!$13:$14,2,1)),0)</f>
        <v>0</v>
      </c>
      <c r="K34" s="95">
        <v>4.3</v>
      </c>
      <c r="L34" s="94">
        <f>IF(K34&lt;&gt;"",IF(D34="男",HLOOKUP(K34,各项评分标准!$16:$18,3,1),HLOOKUP(K34,各项评分标准!$17:$18,2,1)),0)</f>
        <v>60</v>
      </c>
      <c r="M34" s="85">
        <v>7.76</v>
      </c>
      <c r="N34" s="94">
        <f>IF(M34&lt;&gt;"",IF(D34="男",HLOOKUP(M34,各项评分标准!$4:$6,3,1),HLOOKUP(M34,各项评分标准!$5:$6,2,1)),0)</f>
        <v>72</v>
      </c>
      <c r="O34" s="85">
        <v>235</v>
      </c>
      <c r="P34" s="94">
        <f>IF(O34&lt;&gt;"",IF(D34="男",HLOOKUP(O34,各项评分标准!$8:$10,3,1),HLOOKUP(O34,各项评分标准!$9:$10,2,1)),0)</f>
        <v>72</v>
      </c>
      <c r="Q34" s="96">
        <f t="shared" si="1"/>
        <v>51</v>
      </c>
      <c r="R34" s="97">
        <f t="shared" si="2"/>
        <v>40.8</v>
      </c>
      <c r="S34" s="98"/>
    </row>
    <row r="35" s="60" customFormat="1" spans="1:19">
      <c r="A35" s="85">
        <v>31</v>
      </c>
      <c r="B35" s="86" t="s">
        <v>83</v>
      </c>
      <c r="C35" s="87" t="s">
        <v>84</v>
      </c>
      <c r="D35" s="88" t="s">
        <v>28</v>
      </c>
      <c r="E35" s="89" t="s">
        <v>22</v>
      </c>
      <c r="F35" s="90"/>
      <c r="G35" s="91"/>
      <c r="H35" s="92">
        <f t="shared" ref="H35:H97" si="3">Q35</f>
        <v>34.5</v>
      </c>
      <c r="I35" s="93">
        <v>20</v>
      </c>
      <c r="J35" s="94">
        <f>IF(I35&lt;&gt;"",IF(D35="男",HLOOKUP(I35,各项评分标准!$12:$14,3,1),HLOOKUP(I35,各项评分标准!$13:$14,2,1)),0)</f>
        <v>20</v>
      </c>
      <c r="K35" s="95"/>
      <c r="L35" s="94">
        <f>IF(K35&lt;&gt;"",IF(D35="男",HLOOKUP(K35,各项评分标准!$16:$18,3,1),HLOOKUP(K35,各项评分标准!$17:$18,2,1)),0)</f>
        <v>0</v>
      </c>
      <c r="M35" s="85">
        <v>10.44</v>
      </c>
      <c r="N35" s="94">
        <f>IF(M35&lt;&gt;"",IF(D35="男",HLOOKUP(M35,各项评分标准!$4:$6,3,1),HLOOKUP(M35,各项评分标准!$5:$6,2,1)),0)</f>
        <v>50</v>
      </c>
      <c r="O35" s="85">
        <v>165</v>
      </c>
      <c r="P35" s="94">
        <f>IF(O35&lt;&gt;"",IF(D35="男",HLOOKUP(O35,各项评分标准!$8:$10,3,1),HLOOKUP(O35,各项评分标准!$9:$10,2,1)),0)</f>
        <v>68</v>
      </c>
      <c r="Q35" s="96">
        <f t="shared" si="1"/>
        <v>34.5</v>
      </c>
      <c r="R35" s="97">
        <f t="shared" si="2"/>
        <v>27.6</v>
      </c>
      <c r="S35" s="98"/>
    </row>
    <row r="36" s="60" customFormat="1" spans="1:19">
      <c r="A36" s="85">
        <v>32</v>
      </c>
      <c r="B36" s="86" t="s">
        <v>85</v>
      </c>
      <c r="C36" s="87" t="s">
        <v>86</v>
      </c>
      <c r="D36" s="88" t="s">
        <v>28</v>
      </c>
      <c r="E36" s="89" t="s">
        <v>25</v>
      </c>
      <c r="F36" s="90"/>
      <c r="G36" s="91"/>
      <c r="H36" s="92">
        <f t="shared" si="3"/>
        <v>67.5</v>
      </c>
      <c r="I36" s="93">
        <v>49</v>
      </c>
      <c r="J36" s="94">
        <f>IF(I36&lt;&gt;"",IF(D36="男",HLOOKUP(I36,各项评分标准!$12:$14,3,1),HLOOKUP(I36,各项评分标准!$13:$14,2,1)),0)</f>
        <v>80</v>
      </c>
      <c r="K36" s="95">
        <v>4.4</v>
      </c>
      <c r="L36" s="94">
        <f>IF(K36&lt;&gt;"",IF(D36="男",HLOOKUP(K36,各项评分标准!$16:$18,3,1),HLOOKUP(K36,各项评分标准!$17:$18,2,1)),0)</f>
        <v>50</v>
      </c>
      <c r="M36" s="85">
        <v>9.58</v>
      </c>
      <c r="N36" s="94">
        <f>IF(M36&lt;&gt;"",IF(D36="男",HLOOKUP(M36,各项评分标准!$4:$6,3,1),HLOOKUP(M36,各项评分标准!$5:$6,2,1)),0)</f>
        <v>66</v>
      </c>
      <c r="O36" s="85">
        <v>175</v>
      </c>
      <c r="P36" s="94">
        <f>IF(O36&lt;&gt;"",IF(D36="男",HLOOKUP(O36,各项评分标准!$8:$10,3,1),HLOOKUP(O36,各项评分标准!$9:$10,2,1)),0)</f>
        <v>74</v>
      </c>
      <c r="Q36" s="96">
        <f t="shared" si="1"/>
        <v>67.5</v>
      </c>
      <c r="R36" s="97">
        <f t="shared" si="2"/>
        <v>54</v>
      </c>
      <c r="S36" s="98"/>
    </row>
    <row r="37" s="60" customFormat="1" spans="1:19">
      <c r="A37" s="85">
        <v>1</v>
      </c>
      <c r="B37" s="101" t="s">
        <v>87</v>
      </c>
      <c r="C37" s="101" t="s">
        <v>88</v>
      </c>
      <c r="D37" s="88" t="s">
        <v>21</v>
      </c>
      <c r="E37" s="85" t="s">
        <v>89</v>
      </c>
      <c r="F37" s="90"/>
      <c r="G37" s="91"/>
      <c r="H37" s="92">
        <f t="shared" si="3"/>
        <v>82.25</v>
      </c>
      <c r="I37" s="93">
        <v>11</v>
      </c>
      <c r="J37" s="94">
        <f>IF(I37&lt;&gt;"",IF(D37="男",HLOOKUP(I37,各项评分标准!$12:$14,3,1),HLOOKUP(I37,各项评分标准!$13:$14,2,1)),0)</f>
        <v>101</v>
      </c>
      <c r="K37" s="95">
        <v>4.04</v>
      </c>
      <c r="L37" s="94">
        <f>IF(K37&lt;&gt;"",IF(D37="男",HLOOKUP(K37,各项评分标准!$16:$18,3,1),HLOOKUP(K37,各项评分标准!$17:$18,2,1)),0)</f>
        <v>70</v>
      </c>
      <c r="M37" s="95">
        <v>7</v>
      </c>
      <c r="N37" s="94">
        <f>IF(M37&lt;&gt;"",IF(D37="男",HLOOKUP(M37,各项评分标准!$4:$6,3,1),HLOOKUP(M37,各项评分标准!$5:$6,2,1)),0)</f>
        <v>80</v>
      </c>
      <c r="O37" s="85">
        <v>248</v>
      </c>
      <c r="P37" s="94">
        <f>IF(O37&lt;&gt;"",IF(D37="男",HLOOKUP(O37,各项评分标准!$8:$10,3,1),HLOOKUP(O37,各项评分标准!$9:$10,2,1)),0)</f>
        <v>78</v>
      </c>
      <c r="Q37" s="96">
        <f t="shared" si="1"/>
        <v>82.25</v>
      </c>
      <c r="R37" s="97">
        <f t="shared" si="2"/>
        <v>65.8</v>
      </c>
      <c r="S37" s="98"/>
    </row>
    <row r="38" s="60" customFormat="1" spans="1:19">
      <c r="A38" s="85">
        <v>2</v>
      </c>
      <c r="B38" s="101" t="s">
        <v>90</v>
      </c>
      <c r="C38" s="101" t="s">
        <v>91</v>
      </c>
      <c r="D38" s="88" t="s">
        <v>21</v>
      </c>
      <c r="E38" s="85" t="s">
        <v>89</v>
      </c>
      <c r="F38" s="90"/>
      <c r="G38" s="91"/>
      <c r="H38" s="92">
        <f t="shared" si="3"/>
        <v>80</v>
      </c>
      <c r="I38" s="93">
        <v>6</v>
      </c>
      <c r="J38" s="94">
        <f>IF(I38&lt;&gt;"",IF(D38="男",HLOOKUP(I38,各项评分标准!$12:$14,3,1),HLOOKUP(I38,各项评分标准!$13:$14,2,1)),0)</f>
        <v>60</v>
      </c>
      <c r="K38" s="95">
        <v>3.29</v>
      </c>
      <c r="L38" s="94">
        <f>IF(K38&lt;&gt;"",IF(D38="男",HLOOKUP(K38,各项评分标准!$16:$18,3,1),HLOOKUP(K38,各项评分标准!$17:$18,2,1)),0)</f>
        <v>85</v>
      </c>
      <c r="M38" s="85">
        <v>6.86</v>
      </c>
      <c r="N38" s="94">
        <f>IF(M38&lt;&gt;"",IF(D38="男",HLOOKUP(M38,各项评分标准!$4:$6,3,1),HLOOKUP(M38,各项评分标准!$5:$6,2,1)),0)</f>
        <v>90</v>
      </c>
      <c r="O38" s="85">
        <v>264</v>
      </c>
      <c r="P38" s="94">
        <f>IF(O38&lt;&gt;"",IF(D38="男",HLOOKUP(O38,各项评分标准!$8:$10,3,1),HLOOKUP(O38,各项评分标准!$9:$10,2,1)),0)</f>
        <v>85</v>
      </c>
      <c r="Q38" s="96">
        <f t="shared" si="1"/>
        <v>80</v>
      </c>
      <c r="R38" s="97">
        <f t="shared" si="2"/>
        <v>64</v>
      </c>
      <c r="S38" s="98"/>
    </row>
    <row r="39" s="60" customFormat="1" spans="1:19">
      <c r="A39" s="85">
        <v>3</v>
      </c>
      <c r="B39" s="101" t="s">
        <v>92</v>
      </c>
      <c r="C39" s="101" t="s">
        <v>93</v>
      </c>
      <c r="D39" s="88" t="s">
        <v>28</v>
      </c>
      <c r="E39" s="85" t="s">
        <v>89</v>
      </c>
      <c r="F39" s="90"/>
      <c r="G39" s="91"/>
      <c r="H39" s="92">
        <f t="shared" si="3"/>
        <v>66.5</v>
      </c>
      <c r="I39" s="93">
        <v>27</v>
      </c>
      <c r="J39" s="94">
        <f>IF(I39&lt;&gt;"",IF(D39="男",HLOOKUP(I39,各项评分标准!$12:$14,3,1),HLOOKUP(I39,各项评分标准!$13:$14,2,1)),0)</f>
        <v>60</v>
      </c>
      <c r="K39" s="95">
        <v>4.06</v>
      </c>
      <c r="L39" s="94">
        <f>IF(K39&lt;&gt;"",IF(D39="男",HLOOKUP(K39,各项评分标准!$16:$18,3,1),HLOOKUP(K39,各项评分标准!$17:$18,2,1)),0)</f>
        <v>70</v>
      </c>
      <c r="M39" s="85">
        <v>9.35</v>
      </c>
      <c r="N39" s="94">
        <f>IF(M39&lt;&gt;"",IF(D39="男",HLOOKUP(M39,各项评分标准!$4:$6,3,1),HLOOKUP(M39,各项评分标准!$5:$6,2,1)),0)</f>
        <v>68</v>
      </c>
      <c r="O39" s="85">
        <v>165</v>
      </c>
      <c r="P39" s="94">
        <f>IF(O39&lt;&gt;"",IF(D39="男",HLOOKUP(O39,各项评分标准!$8:$10,3,1),HLOOKUP(O39,各项评分标准!$9:$10,2,1)),0)</f>
        <v>68</v>
      </c>
      <c r="Q39" s="96">
        <f t="shared" si="1"/>
        <v>66.5</v>
      </c>
      <c r="R39" s="97">
        <f t="shared" si="2"/>
        <v>53.2</v>
      </c>
      <c r="S39" s="98"/>
    </row>
    <row r="40" s="60" customFormat="1" spans="1:19">
      <c r="A40" s="85">
        <v>4</v>
      </c>
      <c r="B40" s="101" t="s">
        <v>94</v>
      </c>
      <c r="C40" s="101" t="s">
        <v>95</v>
      </c>
      <c r="D40" s="88" t="s">
        <v>21</v>
      </c>
      <c r="E40" s="85" t="s">
        <v>89</v>
      </c>
      <c r="F40" s="90"/>
      <c r="G40" s="91"/>
      <c r="H40" s="92">
        <f t="shared" si="3"/>
        <v>50</v>
      </c>
      <c r="I40" s="93">
        <v>0</v>
      </c>
      <c r="J40" s="94">
        <f>IF(I40&lt;&gt;"",IF(D40="男",HLOOKUP(I40,各项评分标准!$12:$14,3,1),HLOOKUP(I40,各项评分标准!$13:$14,2,1)),0)</f>
        <v>0</v>
      </c>
      <c r="K40" s="95">
        <v>4.1</v>
      </c>
      <c r="L40" s="94">
        <f>IF(K40&lt;&gt;"",IF(D40="男",HLOOKUP(K40,各项评分标准!$16:$18,3,1),HLOOKUP(K40,各项评分标准!$17:$18,2,1)),0)</f>
        <v>68</v>
      </c>
      <c r="M40" s="85">
        <v>7.78</v>
      </c>
      <c r="N40" s="94">
        <f>IF(M40&lt;&gt;"",IF(D40="男",HLOOKUP(M40,各项评分标准!$4:$6,3,1),HLOOKUP(M40,各项评分标准!$5:$6,2,1)),0)</f>
        <v>72</v>
      </c>
      <c r="O40" s="85">
        <v>210</v>
      </c>
      <c r="P40" s="94">
        <f>IF(O40&lt;&gt;"",IF(D40="男",HLOOKUP(O40,各项评分标准!$8:$10,3,1),HLOOKUP(O40,各项评分标准!$9:$10,2,1)),0)</f>
        <v>60</v>
      </c>
      <c r="Q40" s="96">
        <f t="shared" si="1"/>
        <v>50</v>
      </c>
      <c r="R40" s="97">
        <f t="shared" si="2"/>
        <v>40</v>
      </c>
      <c r="S40" s="98"/>
    </row>
    <row r="41" s="60" customFormat="1" spans="1:19">
      <c r="A41" s="85">
        <v>5</v>
      </c>
      <c r="B41" s="101" t="s">
        <v>96</v>
      </c>
      <c r="C41" s="101" t="s">
        <v>97</v>
      </c>
      <c r="D41" s="88" t="s">
        <v>21</v>
      </c>
      <c r="E41" s="85" t="s">
        <v>89</v>
      </c>
      <c r="F41" s="90"/>
      <c r="G41" s="91"/>
      <c r="H41" s="92">
        <f t="shared" si="3"/>
        <v>82.75</v>
      </c>
      <c r="I41" s="93">
        <v>15</v>
      </c>
      <c r="J41" s="94">
        <f>IF(I41&lt;&gt;"",IF(D41="男",HLOOKUP(I41,各项评分标准!$12:$14,3,1),HLOOKUP(I41,各项评分标准!$13:$14,2,1)),0)</f>
        <v>105</v>
      </c>
      <c r="K41" s="95">
        <v>4.05</v>
      </c>
      <c r="L41" s="94">
        <f>IF(K41&lt;&gt;"",IF(D41="男",HLOOKUP(K41,各项评分标准!$16:$18,3,1),HLOOKUP(K41,各项评分标准!$17:$18,2,1)),0)</f>
        <v>70</v>
      </c>
      <c r="M41" s="85">
        <v>7.36</v>
      </c>
      <c r="N41" s="94">
        <f>IF(M41&lt;&gt;"",IF(D41="男",HLOOKUP(M41,各项评分标准!$4:$6,3,1),HLOOKUP(M41,各项评分标准!$5:$6,2,1)),0)</f>
        <v>76</v>
      </c>
      <c r="O41" s="85">
        <v>253</v>
      </c>
      <c r="P41" s="94">
        <f>IF(O41&lt;&gt;"",IF(D41="男",HLOOKUP(O41,各项评分标准!$8:$10,3,1),HLOOKUP(O41,各项评分标准!$9:$10,2,1)),0)</f>
        <v>80</v>
      </c>
      <c r="Q41" s="96">
        <f t="shared" si="1"/>
        <v>82.75</v>
      </c>
      <c r="R41" s="97">
        <f t="shared" si="2"/>
        <v>66.2</v>
      </c>
      <c r="S41" s="98"/>
    </row>
    <row r="42" s="60" customFormat="1" spans="1:19">
      <c r="A42" s="85">
        <v>6</v>
      </c>
      <c r="B42" s="101" t="s">
        <v>98</v>
      </c>
      <c r="C42" s="101" t="s">
        <v>99</v>
      </c>
      <c r="D42" s="88" t="s">
        <v>21</v>
      </c>
      <c r="E42" s="85" t="s">
        <v>89</v>
      </c>
      <c r="F42" s="90"/>
      <c r="G42" s="91"/>
      <c r="H42" s="92">
        <f t="shared" si="3"/>
        <v>77.75</v>
      </c>
      <c r="I42" s="93">
        <v>13</v>
      </c>
      <c r="J42" s="94">
        <f>IF(I42&lt;&gt;"",IF(D42="男",HLOOKUP(I42,各项评分标准!$12:$14,3,1),HLOOKUP(I42,各项评分标准!$13:$14,2,1)),0)</f>
        <v>103</v>
      </c>
      <c r="K42" s="95">
        <v>4.24</v>
      </c>
      <c r="L42" s="94">
        <f>IF(K42&lt;&gt;"",IF(D42="男",HLOOKUP(K42,各项评分标准!$16:$18,3,1),HLOOKUP(K42,各项评分标准!$17:$18,2,1)),0)</f>
        <v>62</v>
      </c>
      <c r="M42" s="85">
        <v>7.36</v>
      </c>
      <c r="N42" s="94">
        <f>IF(M42&lt;&gt;"",IF(D42="男",HLOOKUP(M42,各项评分标准!$4:$6,3,1),HLOOKUP(M42,各项评分标准!$5:$6,2,1)),0)</f>
        <v>76</v>
      </c>
      <c r="O42" s="85">
        <v>232</v>
      </c>
      <c r="P42" s="94">
        <f>IF(O42&lt;&gt;"",IF(D42="男",HLOOKUP(O42,各项评分标准!$8:$10,3,1),HLOOKUP(O42,各项评分标准!$9:$10,2,1)),0)</f>
        <v>70</v>
      </c>
      <c r="Q42" s="96">
        <f t="shared" si="1"/>
        <v>77.75</v>
      </c>
      <c r="R42" s="97">
        <f t="shared" si="2"/>
        <v>62.2</v>
      </c>
      <c r="S42" s="98"/>
    </row>
    <row r="43" s="60" customFormat="1" spans="1:19">
      <c r="A43" s="85">
        <v>7</v>
      </c>
      <c r="B43" s="101" t="s">
        <v>100</v>
      </c>
      <c r="C43" s="101" t="s">
        <v>101</v>
      </c>
      <c r="D43" s="88" t="s">
        <v>21</v>
      </c>
      <c r="E43" s="85" t="s">
        <v>89</v>
      </c>
      <c r="F43" s="90"/>
      <c r="G43" s="91"/>
      <c r="H43" s="92">
        <f t="shared" si="3"/>
        <v>69.5</v>
      </c>
      <c r="I43" s="93">
        <v>7</v>
      </c>
      <c r="J43" s="94">
        <f>IF(I43&lt;&gt;"",IF(D43="男",HLOOKUP(I43,各项评分标准!$12:$14,3,1),HLOOKUP(I43,各项评分标准!$13:$14,2,1)),0)</f>
        <v>70</v>
      </c>
      <c r="K43" s="95">
        <v>4.27</v>
      </c>
      <c r="L43" s="94">
        <f>IF(K43&lt;&gt;"",IF(D43="男",HLOOKUP(K43,各项评分标准!$16:$18,3,1),HLOOKUP(K43,各项评分标准!$17:$18,2,1)),0)</f>
        <v>60</v>
      </c>
      <c r="M43" s="85">
        <v>7.44</v>
      </c>
      <c r="N43" s="94">
        <f>IF(M43&lt;&gt;"",IF(D43="男",HLOOKUP(M43,各项评分标准!$4:$6,3,1),HLOOKUP(M43,各项评分标准!$5:$6,2,1)),0)</f>
        <v>76</v>
      </c>
      <c r="O43" s="85">
        <v>235</v>
      </c>
      <c r="P43" s="94">
        <f>IF(O43&lt;&gt;"",IF(D43="男",HLOOKUP(O43,各项评分标准!$8:$10,3,1),HLOOKUP(O43,各项评分标准!$9:$10,2,1)),0)</f>
        <v>72</v>
      </c>
      <c r="Q43" s="96">
        <f t="shared" si="1"/>
        <v>69.5</v>
      </c>
      <c r="R43" s="97">
        <f t="shared" si="2"/>
        <v>55.6</v>
      </c>
      <c r="S43" s="98"/>
    </row>
    <row r="44" s="60" customFormat="1" spans="1:19">
      <c r="A44" s="85">
        <v>8</v>
      </c>
      <c r="B44" s="101" t="s">
        <v>102</v>
      </c>
      <c r="C44" s="101" t="s">
        <v>103</v>
      </c>
      <c r="D44" s="88" t="s">
        <v>21</v>
      </c>
      <c r="E44" s="85" t="s">
        <v>89</v>
      </c>
      <c r="F44" s="90"/>
      <c r="G44" s="91"/>
      <c r="H44" s="92">
        <f t="shared" si="3"/>
        <v>38</v>
      </c>
      <c r="I44" s="93">
        <v>0</v>
      </c>
      <c r="J44" s="94">
        <f>IF(I44&lt;&gt;"",IF(D44="男",HLOOKUP(I44,各项评分标准!$12:$14,3,1),HLOOKUP(I44,各项评分标准!$13:$14,2,1)),0)</f>
        <v>0</v>
      </c>
      <c r="K44" s="95">
        <v>5.35</v>
      </c>
      <c r="L44" s="94">
        <f>IF(K44&lt;&gt;"",IF(D44="男",HLOOKUP(K44,各项评分标准!$16:$18,3,1),HLOOKUP(K44,各项评分标准!$17:$18,2,1)),0)</f>
        <v>20</v>
      </c>
      <c r="M44" s="85">
        <v>8.28</v>
      </c>
      <c r="N44" s="94">
        <f>IF(M44&lt;&gt;"",IF(D44="男",HLOOKUP(M44,各项评分标准!$4:$6,3,1),HLOOKUP(M44,各项评分标准!$5:$6,2,1)),0)</f>
        <v>68</v>
      </c>
      <c r="O44" s="85">
        <v>221</v>
      </c>
      <c r="P44" s="94">
        <f>IF(O44&lt;&gt;"",IF(D44="男",HLOOKUP(O44,各项评分标准!$8:$10,3,1),HLOOKUP(O44,各项评分标准!$9:$10,2,1)),0)</f>
        <v>64</v>
      </c>
      <c r="Q44" s="96">
        <f t="shared" si="1"/>
        <v>38</v>
      </c>
      <c r="R44" s="97">
        <f t="shared" si="2"/>
        <v>30.4</v>
      </c>
      <c r="S44" s="98"/>
    </row>
    <row r="45" s="60" customFormat="1" spans="1:19">
      <c r="A45" s="85">
        <v>9</v>
      </c>
      <c r="B45" s="101" t="s">
        <v>104</v>
      </c>
      <c r="C45" s="101" t="s">
        <v>105</v>
      </c>
      <c r="D45" s="88" t="s">
        <v>21</v>
      </c>
      <c r="E45" s="85" t="s">
        <v>89</v>
      </c>
      <c r="F45" s="90"/>
      <c r="G45" s="91"/>
      <c r="H45" s="92">
        <f t="shared" si="3"/>
        <v>39.5</v>
      </c>
      <c r="I45" s="93">
        <v>0</v>
      </c>
      <c r="J45" s="94">
        <f>IF(I45&lt;&gt;"",IF(D45="男",HLOOKUP(I45,各项评分标准!$12:$14,3,1),HLOOKUP(I45,各项评分标准!$13:$14,2,1)),0)</f>
        <v>0</v>
      </c>
      <c r="K45" s="95">
        <v>4.36</v>
      </c>
      <c r="L45" s="94">
        <f>IF(K45&lt;&gt;"",IF(D45="男",HLOOKUP(K45,各项评分标准!$16:$18,3,1),HLOOKUP(K45,各项评分标准!$17:$18,2,1)),0)</f>
        <v>50</v>
      </c>
      <c r="M45" s="85">
        <v>8.12</v>
      </c>
      <c r="N45" s="94">
        <f>IF(M45&lt;&gt;"",IF(D45="男",HLOOKUP(M45,各项评分标准!$4:$6,3,1),HLOOKUP(M45,各项评分标准!$5:$6,2,1)),0)</f>
        <v>68</v>
      </c>
      <c r="O45" s="85">
        <v>200</v>
      </c>
      <c r="P45" s="94">
        <f>IF(O45&lt;&gt;"",IF(D45="男",HLOOKUP(O45,各项评分标准!$8:$10,3,1),HLOOKUP(O45,各项评分标准!$9:$10,2,1)),0)</f>
        <v>40</v>
      </c>
      <c r="Q45" s="96">
        <f t="shared" si="1"/>
        <v>39.5</v>
      </c>
      <c r="R45" s="97">
        <f t="shared" si="2"/>
        <v>31.6</v>
      </c>
      <c r="S45" s="98"/>
    </row>
    <row r="46" s="60" customFormat="1" spans="1:19">
      <c r="A46" s="85">
        <v>10</v>
      </c>
      <c r="B46" s="101" t="s">
        <v>106</v>
      </c>
      <c r="C46" s="101" t="s">
        <v>107</v>
      </c>
      <c r="D46" s="88" t="s">
        <v>21</v>
      </c>
      <c r="E46" s="85" t="s">
        <v>89</v>
      </c>
      <c r="F46" s="90"/>
      <c r="G46" s="91"/>
      <c r="H46" s="92">
        <f t="shared" si="3"/>
        <v>33</v>
      </c>
      <c r="I46" s="93">
        <v>0</v>
      </c>
      <c r="J46" s="94">
        <f>IF(I46&lt;&gt;"",IF(D46="男",HLOOKUP(I46,各项评分标准!$12:$14,3,1),HLOOKUP(I46,各项评分标准!$13:$14,2,1)),0)</f>
        <v>0</v>
      </c>
      <c r="K46" s="95">
        <v>5.27</v>
      </c>
      <c r="L46" s="94">
        <f>IF(K46&lt;&gt;"",IF(D46="男",HLOOKUP(K46,各项评分标准!$16:$18,3,1),HLOOKUP(K46,各项评分标准!$17:$18,2,1)),0)</f>
        <v>30</v>
      </c>
      <c r="M46" s="85">
        <v>7.87</v>
      </c>
      <c r="N46" s="94">
        <f>IF(M46&lt;&gt;"",IF(D46="男",HLOOKUP(M46,各项评分标准!$4:$6,3,1),HLOOKUP(M46,各项评分标准!$5:$6,2,1)),0)</f>
        <v>72</v>
      </c>
      <c r="O46" s="85">
        <v>198</v>
      </c>
      <c r="P46" s="94">
        <f>IF(O46&lt;&gt;"",IF(D46="男",HLOOKUP(O46,各项评分标准!$8:$10,3,1),HLOOKUP(O46,各项评分标准!$9:$10,2,1)),0)</f>
        <v>30</v>
      </c>
      <c r="Q46" s="96">
        <f t="shared" si="1"/>
        <v>33</v>
      </c>
      <c r="R46" s="97">
        <f t="shared" si="2"/>
        <v>26.4</v>
      </c>
      <c r="S46" s="98"/>
    </row>
    <row r="47" s="60" customFormat="1" spans="1:19">
      <c r="A47" s="85">
        <v>11</v>
      </c>
      <c r="B47" s="101" t="s">
        <v>108</v>
      </c>
      <c r="C47" s="101" t="s">
        <v>109</v>
      </c>
      <c r="D47" s="88" t="s">
        <v>21</v>
      </c>
      <c r="E47" s="85" t="s">
        <v>89</v>
      </c>
      <c r="F47" s="90"/>
      <c r="G47" s="91"/>
      <c r="H47" s="92">
        <f t="shared" si="3"/>
        <v>46</v>
      </c>
      <c r="I47" s="93">
        <v>0</v>
      </c>
      <c r="J47" s="94">
        <f>IF(I47&lt;&gt;"",IF(D47="男",HLOOKUP(I47,各项评分标准!$12:$14,3,1),HLOOKUP(I47,各项评分标准!$13:$14,2,1)),0)</f>
        <v>0</v>
      </c>
      <c r="K47" s="95">
        <v>4.46</v>
      </c>
      <c r="L47" s="94">
        <f>IF(K47&lt;&gt;"",IF(D47="男",HLOOKUP(K47,各项评分标准!$16:$18,3,1),HLOOKUP(K47,各项评分标准!$17:$18,2,1)),0)</f>
        <v>50</v>
      </c>
      <c r="M47" s="85">
        <v>7.82</v>
      </c>
      <c r="N47" s="94">
        <f>IF(M47&lt;&gt;"",IF(D47="男",HLOOKUP(M47,各项评分标准!$4:$6,3,1),HLOOKUP(M47,各项评分标准!$5:$6,2,1)),0)</f>
        <v>72</v>
      </c>
      <c r="O47" s="85">
        <v>217</v>
      </c>
      <c r="P47" s="94">
        <f>IF(O47&lt;&gt;"",IF(D47="男",HLOOKUP(O47,各项评分标准!$8:$10,3,1),HLOOKUP(O47,各项评分标准!$9:$10,2,1)),0)</f>
        <v>62</v>
      </c>
      <c r="Q47" s="96">
        <f t="shared" si="1"/>
        <v>46</v>
      </c>
      <c r="R47" s="97">
        <f t="shared" si="2"/>
        <v>36.8</v>
      </c>
      <c r="S47" s="98"/>
    </row>
    <row r="48" s="60" customFormat="1" spans="1:19">
      <c r="A48" s="85">
        <v>12</v>
      </c>
      <c r="B48" s="101" t="s">
        <v>110</v>
      </c>
      <c r="C48" s="101" t="s">
        <v>111</v>
      </c>
      <c r="D48" s="88" t="s">
        <v>21</v>
      </c>
      <c r="E48" s="85" t="s">
        <v>89</v>
      </c>
      <c r="F48" s="90"/>
      <c r="G48" s="91"/>
      <c r="H48" s="92">
        <f t="shared" si="3"/>
        <v>68</v>
      </c>
      <c r="I48" s="93">
        <v>8</v>
      </c>
      <c r="J48" s="94">
        <f>IF(I48&lt;&gt;"",IF(D48="男",HLOOKUP(I48,各项评分标准!$12:$14,3,1),HLOOKUP(I48,各项评分标准!$13:$14,2,1)),0)</f>
        <v>80</v>
      </c>
      <c r="K48" s="95">
        <v>4.05</v>
      </c>
      <c r="L48" s="94">
        <f>IF(K48&lt;&gt;"",IF(D48="男",HLOOKUP(K48,各项评分标准!$16:$18,3,1),HLOOKUP(K48,各项评分标准!$17:$18,2,1)),0)</f>
        <v>70</v>
      </c>
      <c r="M48" s="85">
        <v>7.74</v>
      </c>
      <c r="N48" s="94">
        <f>IF(M48&lt;&gt;"",IF(D48="男",HLOOKUP(M48,各项评分标准!$4:$6,3,1),HLOOKUP(M48,各项评分标准!$5:$6,2,1)),0)</f>
        <v>72</v>
      </c>
      <c r="O48" s="85">
        <v>208</v>
      </c>
      <c r="P48" s="94">
        <f>IF(O48&lt;&gt;"",IF(D48="男",HLOOKUP(O48,各项评分标准!$8:$10,3,1),HLOOKUP(O48,各项评分标准!$9:$10,2,1)),0)</f>
        <v>50</v>
      </c>
      <c r="Q48" s="96">
        <f t="shared" si="1"/>
        <v>68</v>
      </c>
      <c r="R48" s="97">
        <f t="shared" si="2"/>
        <v>54.4</v>
      </c>
      <c r="S48" s="98"/>
    </row>
    <row r="49" s="60" customFormat="1" spans="1:19">
      <c r="A49" s="85">
        <v>13</v>
      </c>
      <c r="B49" s="101" t="s">
        <v>112</v>
      </c>
      <c r="C49" s="101" t="s">
        <v>113</v>
      </c>
      <c r="D49" s="88" t="s">
        <v>21</v>
      </c>
      <c r="E49" s="85" t="s">
        <v>89</v>
      </c>
      <c r="F49" s="90"/>
      <c r="G49" s="91"/>
      <c r="H49" s="92">
        <f t="shared" si="3"/>
        <v>54.5</v>
      </c>
      <c r="I49" s="93">
        <v>1</v>
      </c>
      <c r="J49" s="94">
        <f>IF(I49&lt;&gt;"",IF(D49="男",HLOOKUP(I49,各项评分标准!$12:$14,3,1),HLOOKUP(I49,各项评分标准!$13:$14,2,1)),0)</f>
        <v>10</v>
      </c>
      <c r="K49" s="95">
        <v>4.15</v>
      </c>
      <c r="L49" s="94">
        <f>IF(K49&lt;&gt;"",IF(D49="男",HLOOKUP(K49,各项评分标准!$16:$18,3,1),HLOOKUP(K49,各项评分标准!$17:$18,2,1)),0)</f>
        <v>66</v>
      </c>
      <c r="M49" s="85">
        <v>8.04</v>
      </c>
      <c r="N49" s="94">
        <f>IF(M49&lt;&gt;"",IF(D49="男",HLOOKUP(M49,各项评分标准!$4:$6,3,1),HLOOKUP(M49,各项评分标准!$5:$6,2,1)),0)</f>
        <v>70</v>
      </c>
      <c r="O49" s="85">
        <v>237</v>
      </c>
      <c r="P49" s="94">
        <f>IF(O49&lt;&gt;"",IF(D49="男",HLOOKUP(O49,各项评分标准!$8:$10,3,1),HLOOKUP(O49,各项评分标准!$9:$10,2,1)),0)</f>
        <v>72</v>
      </c>
      <c r="Q49" s="96">
        <f t="shared" si="1"/>
        <v>54.5</v>
      </c>
      <c r="R49" s="97">
        <f t="shared" si="2"/>
        <v>43.6</v>
      </c>
      <c r="S49" s="98"/>
    </row>
    <row r="50" s="60" customFormat="1" spans="1:19">
      <c r="A50" s="85">
        <v>14</v>
      </c>
      <c r="B50" s="101" t="s">
        <v>114</v>
      </c>
      <c r="C50" s="101" t="s">
        <v>115</v>
      </c>
      <c r="D50" s="88" t="s">
        <v>21</v>
      </c>
      <c r="E50" s="85" t="s">
        <v>89</v>
      </c>
      <c r="F50" s="90"/>
      <c r="G50" s="91"/>
      <c r="H50" s="92">
        <f t="shared" si="3"/>
        <v>43.5</v>
      </c>
      <c r="I50" s="93">
        <v>0</v>
      </c>
      <c r="J50" s="94">
        <f>IF(I50&lt;&gt;"",IF(D50="男",HLOOKUP(I50,各项评分标准!$12:$14,3,1),HLOOKUP(I50,各项评分标准!$13:$14,2,1)),0)</f>
        <v>0</v>
      </c>
      <c r="K50" s="95">
        <v>4.29</v>
      </c>
      <c r="L50" s="94">
        <f>IF(K50&lt;&gt;"",IF(D50="男",HLOOKUP(K50,各项评分标准!$16:$18,3,1),HLOOKUP(K50,各项评分标准!$17:$18,2,1)),0)</f>
        <v>60</v>
      </c>
      <c r="M50" s="85">
        <v>8.67</v>
      </c>
      <c r="N50" s="94">
        <f>IF(M50&lt;&gt;"",IF(D50="男",HLOOKUP(M50,各项评分标准!$4:$6,3,1),HLOOKUP(M50,各项评分标准!$5:$6,2,1)),0)</f>
        <v>64</v>
      </c>
      <c r="O50" s="85">
        <v>205</v>
      </c>
      <c r="P50" s="94">
        <f>IF(O50&lt;&gt;"",IF(D50="男",HLOOKUP(O50,各项评分标准!$8:$10,3,1),HLOOKUP(O50,各项评分标准!$9:$10,2,1)),0)</f>
        <v>50</v>
      </c>
      <c r="Q50" s="96">
        <f t="shared" si="1"/>
        <v>43.5</v>
      </c>
      <c r="R50" s="97">
        <f t="shared" si="2"/>
        <v>34.8</v>
      </c>
      <c r="S50" s="98"/>
    </row>
    <row r="51" s="60" customFormat="1" spans="1:19">
      <c r="A51" s="85">
        <v>15</v>
      </c>
      <c r="B51" s="101" t="s">
        <v>116</v>
      </c>
      <c r="C51" s="101" t="s">
        <v>117</v>
      </c>
      <c r="D51" s="88" t="s">
        <v>21</v>
      </c>
      <c r="E51" s="85" t="s">
        <v>89</v>
      </c>
      <c r="F51" s="90"/>
      <c r="G51" s="91"/>
      <c r="H51" s="92">
        <f t="shared" si="3"/>
        <v>51.5</v>
      </c>
      <c r="I51" s="93">
        <v>0</v>
      </c>
      <c r="J51" s="94">
        <f>IF(I51&lt;&gt;"",IF(D51="男",HLOOKUP(I51,各项评分标准!$12:$14,3,1),HLOOKUP(I51,各项评分标准!$13:$14,2,1)),0)</f>
        <v>0</v>
      </c>
      <c r="K51" s="95">
        <v>4.19</v>
      </c>
      <c r="L51" s="94">
        <f>IF(K51&lt;&gt;"",IF(D51="男",HLOOKUP(K51,各项评分标准!$16:$18,3,1),HLOOKUP(K51,各项评分标准!$17:$18,2,1)),0)</f>
        <v>64</v>
      </c>
      <c r="M51" s="85">
        <v>7.13</v>
      </c>
      <c r="N51" s="94">
        <f>IF(M51&lt;&gt;"",IF(D51="男",HLOOKUP(M51,各项评分标准!$4:$6,3,1),HLOOKUP(M51,各项评分标准!$5:$6,2,1)),0)</f>
        <v>78</v>
      </c>
      <c r="O51" s="85">
        <v>218</v>
      </c>
      <c r="P51" s="94">
        <f>IF(O51&lt;&gt;"",IF(D51="男",HLOOKUP(O51,各项评分标准!$8:$10,3,1),HLOOKUP(O51,各项评分标准!$9:$10,2,1)),0)</f>
        <v>64</v>
      </c>
      <c r="Q51" s="96">
        <f t="shared" si="1"/>
        <v>51.5</v>
      </c>
      <c r="R51" s="97">
        <f t="shared" si="2"/>
        <v>41.2</v>
      </c>
      <c r="S51" s="98"/>
    </row>
    <row r="52" s="60" customFormat="1" spans="1:19">
      <c r="A52" s="85">
        <v>16</v>
      </c>
      <c r="B52" s="101" t="s">
        <v>118</v>
      </c>
      <c r="C52" s="101" t="s">
        <v>119</v>
      </c>
      <c r="D52" s="88" t="s">
        <v>21</v>
      </c>
      <c r="E52" s="85" t="s">
        <v>89</v>
      </c>
      <c r="F52" s="90"/>
      <c r="G52" s="91"/>
      <c r="H52" s="92">
        <f t="shared" si="3"/>
        <v>12.5</v>
      </c>
      <c r="I52" s="93">
        <v>0</v>
      </c>
      <c r="J52" s="94">
        <f>IF(I52&lt;&gt;"",IF(D52="男",HLOOKUP(I52,各项评分标准!$12:$14,3,1),HLOOKUP(I52,各项评分标准!$13:$14,2,1)),0)</f>
        <v>0</v>
      </c>
      <c r="K52" s="95">
        <v>6.04</v>
      </c>
      <c r="L52" s="94">
        <f>IF(K52&lt;&gt;"",IF(D52="男",HLOOKUP(K52,各项评分标准!$16:$18,3,1),HLOOKUP(K52,各项评分标准!$17:$18,2,1)),0)</f>
        <v>10</v>
      </c>
      <c r="M52" s="85">
        <v>9.35</v>
      </c>
      <c r="N52" s="94">
        <f>IF(M52&lt;&gt;"",IF(D52="男",HLOOKUP(M52,各项评分标准!$4:$6,3,1),HLOOKUP(M52,各项评分标准!$5:$6,2,1)),0)</f>
        <v>40</v>
      </c>
      <c r="O52" s="85">
        <v>175</v>
      </c>
      <c r="P52" s="94">
        <f>IF(O52&lt;&gt;"",IF(D52="男",HLOOKUP(O52,各项评分标准!$8:$10,3,1),HLOOKUP(O52,各项评分标准!$9:$10,2,1)),0)</f>
        <v>0</v>
      </c>
      <c r="Q52" s="96">
        <f t="shared" si="1"/>
        <v>12.5</v>
      </c>
      <c r="R52" s="97">
        <f t="shared" si="2"/>
        <v>10</v>
      </c>
      <c r="S52" s="98"/>
    </row>
    <row r="53" s="60" customFormat="1" spans="1:19">
      <c r="A53" s="85">
        <v>17</v>
      </c>
      <c r="B53" s="101" t="s">
        <v>120</v>
      </c>
      <c r="C53" s="101" t="s">
        <v>121</v>
      </c>
      <c r="D53" s="88" t="s">
        <v>28</v>
      </c>
      <c r="E53" s="85" t="s">
        <v>89</v>
      </c>
      <c r="F53" s="90"/>
      <c r="G53" s="91"/>
      <c r="H53" s="92">
        <f t="shared" si="3"/>
        <v>67.5</v>
      </c>
      <c r="I53" s="93">
        <v>43</v>
      </c>
      <c r="J53" s="94">
        <f>IF(I53&lt;&gt;"",IF(D53="男",HLOOKUP(I53,各项评分标准!$12:$14,3,1),HLOOKUP(I53,各项评分标准!$13:$14,2,1)),0)</f>
        <v>76</v>
      </c>
      <c r="K53" s="95">
        <v>4.27</v>
      </c>
      <c r="L53" s="94">
        <f>IF(K53&lt;&gt;"",IF(D53="男",HLOOKUP(K53,各项评分标准!$16:$18,3,1),HLOOKUP(K53,各项评分标准!$17:$18,2,1)),0)</f>
        <v>62</v>
      </c>
      <c r="M53" s="85">
        <v>9.33</v>
      </c>
      <c r="N53" s="94">
        <f>IF(M53&lt;&gt;"",IF(D53="男",HLOOKUP(M53,各项评分标准!$4:$6,3,1),HLOOKUP(M53,各项评分标准!$5:$6,2,1)),0)</f>
        <v>68</v>
      </c>
      <c r="O53" s="85">
        <v>160</v>
      </c>
      <c r="P53" s="94">
        <f>IF(O53&lt;&gt;"",IF(D53="男",HLOOKUP(O53,各项评分标准!$8:$10,3,1),HLOOKUP(O53,各项评分标准!$9:$10,2,1)),0)</f>
        <v>64</v>
      </c>
      <c r="Q53" s="96">
        <f t="shared" si="1"/>
        <v>67.5</v>
      </c>
      <c r="R53" s="97">
        <f t="shared" si="2"/>
        <v>54</v>
      </c>
      <c r="S53" s="98"/>
    </row>
    <row r="54" s="60" customFormat="1" spans="1:19">
      <c r="A54" s="85">
        <v>18</v>
      </c>
      <c r="B54" s="101" t="s">
        <v>122</v>
      </c>
      <c r="C54" s="101" t="s">
        <v>123</v>
      </c>
      <c r="D54" s="88" t="s">
        <v>21</v>
      </c>
      <c r="E54" s="85" t="s">
        <v>89</v>
      </c>
      <c r="F54" s="90"/>
      <c r="G54" s="91"/>
      <c r="H54" s="92">
        <f t="shared" si="3"/>
        <v>36.5</v>
      </c>
      <c r="I54" s="93">
        <v>0</v>
      </c>
      <c r="J54" s="94">
        <f>IF(I54&lt;&gt;"",IF(D54="男",HLOOKUP(I54,各项评分标准!$12:$14,3,1),HLOOKUP(I54,各项评分标准!$13:$14,2,1)),0)</f>
        <v>0</v>
      </c>
      <c r="K54" s="95">
        <v>4.37</v>
      </c>
      <c r="L54" s="94">
        <f>IF(K54&lt;&gt;"",IF(D54="男",HLOOKUP(K54,各项评分标准!$16:$18,3,1),HLOOKUP(K54,各项评分标准!$17:$18,2,1)),0)</f>
        <v>50</v>
      </c>
      <c r="M54" s="85">
        <v>8.42</v>
      </c>
      <c r="N54" s="94">
        <f>IF(M54&lt;&gt;"",IF(D54="男",HLOOKUP(M54,各项评分标准!$4:$6,3,1),HLOOKUP(M54,各项评分标准!$5:$6,2,1)),0)</f>
        <v>66</v>
      </c>
      <c r="O54" s="85">
        <v>195</v>
      </c>
      <c r="P54" s="94">
        <f>IF(O54&lt;&gt;"",IF(D54="男",HLOOKUP(O54,各项评分标准!$8:$10,3,1),HLOOKUP(O54,各项评分标准!$9:$10,2,1)),0)</f>
        <v>30</v>
      </c>
      <c r="Q54" s="96">
        <f t="shared" si="1"/>
        <v>36.5</v>
      </c>
      <c r="R54" s="97">
        <f t="shared" si="2"/>
        <v>29.2</v>
      </c>
      <c r="S54" s="98"/>
    </row>
    <row r="55" s="60" customFormat="1" spans="1:19">
      <c r="A55" s="85">
        <v>19</v>
      </c>
      <c r="B55" s="101" t="s">
        <v>124</v>
      </c>
      <c r="C55" s="101" t="s">
        <v>125</v>
      </c>
      <c r="D55" s="88" t="s">
        <v>21</v>
      </c>
      <c r="E55" s="85" t="s">
        <v>89</v>
      </c>
      <c r="F55" s="90"/>
      <c r="G55" s="91"/>
      <c r="H55" s="92">
        <f t="shared" si="3"/>
        <v>52.5</v>
      </c>
      <c r="I55" s="93">
        <v>1</v>
      </c>
      <c r="J55" s="94">
        <f>IF(I55&lt;&gt;"",IF(D55="男",HLOOKUP(I55,各项评分标准!$12:$14,3,1),HLOOKUP(I55,各项评分标准!$13:$14,2,1)),0)</f>
        <v>10</v>
      </c>
      <c r="K55" s="95">
        <v>4.3</v>
      </c>
      <c r="L55" s="94">
        <f>IF(K55&lt;&gt;"",IF(D55="男",HLOOKUP(K55,各项评分标准!$16:$18,3,1),HLOOKUP(K55,各项评分标准!$17:$18,2,1)),0)</f>
        <v>60</v>
      </c>
      <c r="M55" s="85">
        <v>7.65</v>
      </c>
      <c r="N55" s="94">
        <f>IF(M55&lt;&gt;"",IF(D55="男",HLOOKUP(M55,各项评分标准!$4:$6,3,1),HLOOKUP(M55,各项评分标准!$5:$6,2,1)),0)</f>
        <v>74</v>
      </c>
      <c r="O55" s="85">
        <v>223</v>
      </c>
      <c r="P55" s="94">
        <f>IF(O55&lt;&gt;"",IF(D55="男",HLOOKUP(O55,各项评分标准!$8:$10,3,1),HLOOKUP(O55,各项评分标准!$9:$10,2,1)),0)</f>
        <v>66</v>
      </c>
      <c r="Q55" s="96">
        <f t="shared" si="1"/>
        <v>52.5</v>
      </c>
      <c r="R55" s="97">
        <f t="shared" si="2"/>
        <v>42</v>
      </c>
      <c r="S55" s="98"/>
    </row>
    <row r="56" s="60" customFormat="1" spans="1:19">
      <c r="A56" s="85">
        <v>20</v>
      </c>
      <c r="B56" s="101" t="s">
        <v>126</v>
      </c>
      <c r="C56" s="101" t="s">
        <v>127</v>
      </c>
      <c r="D56" s="88" t="s">
        <v>21</v>
      </c>
      <c r="E56" s="85" t="s">
        <v>89</v>
      </c>
      <c r="F56" s="90"/>
      <c r="G56" s="91"/>
      <c r="H56" s="92">
        <f t="shared" si="3"/>
        <v>56</v>
      </c>
      <c r="I56" s="93">
        <v>3</v>
      </c>
      <c r="J56" s="94">
        <f>IF(I56&lt;&gt;"",IF(D56="男",HLOOKUP(I56,各项评分标准!$12:$14,3,1),HLOOKUP(I56,各项评分标准!$13:$14,2,1)),0)</f>
        <v>30</v>
      </c>
      <c r="K56" s="95">
        <v>4.31</v>
      </c>
      <c r="L56" s="94">
        <f>IF(K56&lt;&gt;"",IF(D56="男",HLOOKUP(K56,各项评分标准!$16:$18,3,1),HLOOKUP(K56,各项评分标准!$17:$18,2,1)),0)</f>
        <v>50</v>
      </c>
      <c r="M56" s="85">
        <v>7.65</v>
      </c>
      <c r="N56" s="94">
        <f>IF(M56&lt;&gt;"",IF(D56="男",HLOOKUP(M56,各项评分标准!$4:$6,3,1),HLOOKUP(M56,各项评分标准!$5:$6,2,1)),0)</f>
        <v>74</v>
      </c>
      <c r="O56" s="85">
        <v>230</v>
      </c>
      <c r="P56" s="94">
        <f>IF(O56&lt;&gt;"",IF(D56="男",HLOOKUP(O56,各项评分标准!$8:$10,3,1),HLOOKUP(O56,各项评分标准!$9:$10,2,1)),0)</f>
        <v>70</v>
      </c>
      <c r="Q56" s="96">
        <f t="shared" si="1"/>
        <v>56</v>
      </c>
      <c r="R56" s="97">
        <f t="shared" si="2"/>
        <v>44.8</v>
      </c>
      <c r="S56" s="98"/>
    </row>
    <row r="57" s="60" customFormat="1" spans="1:19">
      <c r="A57" s="85">
        <v>21</v>
      </c>
      <c r="B57" s="101" t="s">
        <v>128</v>
      </c>
      <c r="C57" s="101" t="s">
        <v>129</v>
      </c>
      <c r="D57" s="88" t="s">
        <v>21</v>
      </c>
      <c r="E57" s="85" t="s">
        <v>89</v>
      </c>
      <c r="F57" s="90"/>
      <c r="G57" s="91"/>
      <c r="H57" s="92">
        <f t="shared" si="3"/>
        <v>56.25</v>
      </c>
      <c r="I57" s="93">
        <v>0</v>
      </c>
      <c r="J57" s="94">
        <f>IF(I57&lt;&gt;"",IF(D57="男",HLOOKUP(I57,各项评分标准!$12:$14,3,1),HLOOKUP(I57,各项评分标准!$13:$14,2,1)),0)</f>
        <v>0</v>
      </c>
      <c r="K57" s="95">
        <v>4.42</v>
      </c>
      <c r="L57" s="94">
        <f>IF(K57&lt;&gt;"",IF(D57="男",HLOOKUP(K57,各项评分标准!$16:$18,3,1),HLOOKUP(K57,各项评分标准!$17:$18,2,1)),0)</f>
        <v>50</v>
      </c>
      <c r="M57" s="85">
        <v>6.74</v>
      </c>
      <c r="N57" s="94">
        <f>IF(M57&lt;&gt;"",IF(D57="男",HLOOKUP(M57,各项评分标准!$4:$6,3,1),HLOOKUP(M57,各项评分标准!$5:$6,2,1)),0)</f>
        <v>95</v>
      </c>
      <c r="O57" s="85">
        <v>253</v>
      </c>
      <c r="P57" s="94">
        <f>IF(O57&lt;&gt;"",IF(D57="男",HLOOKUP(O57,各项评分标准!$8:$10,3,1),HLOOKUP(O57,各项评分标准!$9:$10,2,1)),0)</f>
        <v>80</v>
      </c>
      <c r="Q57" s="96">
        <f t="shared" si="1"/>
        <v>56.25</v>
      </c>
      <c r="R57" s="97">
        <f t="shared" si="2"/>
        <v>45</v>
      </c>
      <c r="S57" s="98"/>
    </row>
    <row r="58" s="60" customFormat="1" spans="1:19">
      <c r="A58" s="85">
        <v>22</v>
      </c>
      <c r="B58" s="101" t="s">
        <v>130</v>
      </c>
      <c r="C58" s="101" t="s">
        <v>131</v>
      </c>
      <c r="D58" s="88" t="s">
        <v>28</v>
      </c>
      <c r="E58" s="85" t="s">
        <v>89</v>
      </c>
      <c r="F58" s="90"/>
      <c r="G58" s="91"/>
      <c r="H58" s="92">
        <f t="shared" si="3"/>
        <v>64.75</v>
      </c>
      <c r="I58" s="93">
        <v>52</v>
      </c>
      <c r="J58" s="94">
        <f>IF(I58&lt;&gt;"",IF(D58="男",HLOOKUP(I58,各项评分标准!$12:$14,3,1),HLOOKUP(I58,各项评分标准!$13:$14,2,1)),0)</f>
        <v>85</v>
      </c>
      <c r="K58" s="95">
        <v>4.16</v>
      </c>
      <c r="L58" s="94">
        <f>IF(K58&lt;&gt;"",IF(D58="男",HLOOKUP(K58,各项评分标准!$16:$18,3,1),HLOOKUP(K58,各项评分标准!$17:$18,2,1)),0)</f>
        <v>66</v>
      </c>
      <c r="M58" s="85">
        <v>9.47</v>
      </c>
      <c r="N58" s="94">
        <f>IF(M58&lt;&gt;"",IF(D58="男",HLOOKUP(M58,各项评分标准!$4:$6,3,1),HLOOKUP(M58,各项评分标准!$5:$6,2,1)),0)</f>
        <v>68</v>
      </c>
      <c r="O58" s="85">
        <v>146</v>
      </c>
      <c r="P58" s="94">
        <f>IF(O58&lt;&gt;"",IF(D58="男",HLOOKUP(O58,各项评分标准!$8:$10,3,1),HLOOKUP(O58,各项评分标准!$9:$10,2,1)),0)</f>
        <v>40</v>
      </c>
      <c r="Q58" s="96">
        <f t="shared" si="1"/>
        <v>64.75</v>
      </c>
      <c r="R58" s="97">
        <f t="shared" si="2"/>
        <v>51.8</v>
      </c>
      <c r="S58" s="98"/>
    </row>
    <row r="59" s="60" customFormat="1" spans="1:19">
      <c r="A59" s="85">
        <v>23</v>
      </c>
      <c r="B59" s="101" t="s">
        <v>132</v>
      </c>
      <c r="C59" s="101" t="s">
        <v>133</v>
      </c>
      <c r="D59" s="88" t="s">
        <v>28</v>
      </c>
      <c r="E59" s="85" t="s">
        <v>89</v>
      </c>
      <c r="F59" s="90"/>
      <c r="G59" s="91"/>
      <c r="H59" s="92">
        <f t="shared" si="3"/>
        <v>61.5</v>
      </c>
      <c r="I59" s="93">
        <v>31</v>
      </c>
      <c r="J59" s="94">
        <f>IF(I59&lt;&gt;"",IF(D59="男",HLOOKUP(I59,各项评分标准!$12:$14,3,1),HLOOKUP(I59,各项评分标准!$13:$14,2,1)),0)</f>
        <v>64</v>
      </c>
      <c r="K59" s="95">
        <v>4.38</v>
      </c>
      <c r="L59" s="94">
        <f>IF(K59&lt;&gt;"",IF(D59="男",HLOOKUP(K59,各项评分标准!$16:$18,3,1),HLOOKUP(K59,各项评分标准!$17:$18,2,1)),0)</f>
        <v>50</v>
      </c>
      <c r="M59" s="85">
        <v>9.76</v>
      </c>
      <c r="N59" s="94">
        <f>IF(M59&lt;&gt;"",IF(D59="男",HLOOKUP(M59,各项评分标准!$4:$6,3,1),HLOOKUP(M59,各项评分标准!$5:$6,2,1)),0)</f>
        <v>64</v>
      </c>
      <c r="O59" s="85">
        <v>166</v>
      </c>
      <c r="P59" s="94">
        <f>IF(O59&lt;&gt;"",IF(D59="男",HLOOKUP(O59,各项评分标准!$8:$10,3,1),HLOOKUP(O59,各项评分标准!$9:$10,2,1)),0)</f>
        <v>68</v>
      </c>
      <c r="Q59" s="96">
        <f t="shared" si="1"/>
        <v>61.5</v>
      </c>
      <c r="R59" s="97">
        <f t="shared" si="2"/>
        <v>49.2</v>
      </c>
      <c r="S59" s="98"/>
    </row>
    <row r="60" s="60" customFormat="1" spans="1:19">
      <c r="A60" s="85">
        <v>24</v>
      </c>
      <c r="B60" s="101" t="s">
        <v>134</v>
      </c>
      <c r="C60" s="101" t="s">
        <v>135</v>
      </c>
      <c r="D60" s="88" t="s">
        <v>28</v>
      </c>
      <c r="E60" s="85" t="s">
        <v>89</v>
      </c>
      <c r="F60" s="90"/>
      <c r="G60" s="91"/>
      <c r="H60" s="92">
        <f t="shared" si="3"/>
        <v>57.25</v>
      </c>
      <c r="I60" s="93">
        <v>36</v>
      </c>
      <c r="J60" s="94">
        <f>IF(I60&lt;&gt;"",IF(D60="男",HLOOKUP(I60,各项评分标准!$12:$14,3,1),HLOOKUP(I60,各项评分标准!$13:$14,2,1)),0)</f>
        <v>68</v>
      </c>
      <c r="K60" s="95">
        <v>3.49</v>
      </c>
      <c r="L60" s="94">
        <f>IF(K60&lt;&gt;"",IF(D60="男",HLOOKUP(K60,各项评分标准!$16:$18,3,1),HLOOKUP(K60,各项评分标准!$17:$18,2,1)),0)</f>
        <v>76</v>
      </c>
      <c r="M60" s="85"/>
      <c r="N60" s="94">
        <f>IF(M60&lt;&gt;"",IF(D60="男",HLOOKUP(M60,各项评分标准!$4:$6,3,1),HLOOKUP(M60,各项评分标准!$5:$6,2,1)),0)</f>
        <v>0</v>
      </c>
      <c r="O60" s="85">
        <v>190</v>
      </c>
      <c r="P60" s="94">
        <f>IF(O60&lt;&gt;"",IF(D60="男",HLOOKUP(O60,各项评分标准!$8:$10,3,1),HLOOKUP(O60,各项评分标准!$9:$10,2,1)),0)</f>
        <v>85</v>
      </c>
      <c r="Q60" s="96">
        <f t="shared" si="1"/>
        <v>57.25</v>
      </c>
      <c r="R60" s="97">
        <f t="shared" si="2"/>
        <v>45.8</v>
      </c>
      <c r="S60" s="98"/>
    </row>
    <row r="61" s="60" customFormat="1" spans="1:19">
      <c r="A61" s="85">
        <v>25</v>
      </c>
      <c r="B61" s="101" t="s">
        <v>136</v>
      </c>
      <c r="C61" s="101" t="s">
        <v>137</v>
      </c>
      <c r="D61" s="88" t="s">
        <v>21</v>
      </c>
      <c r="E61" s="85" t="s">
        <v>89</v>
      </c>
      <c r="F61" s="90"/>
      <c r="G61" s="91"/>
      <c r="H61" s="92">
        <f t="shared" si="3"/>
        <v>64.25</v>
      </c>
      <c r="I61" s="93">
        <v>3</v>
      </c>
      <c r="J61" s="94">
        <f>IF(I61&lt;&gt;"",IF(D61="男",HLOOKUP(I61,各项评分标准!$12:$14,3,1),HLOOKUP(I61,各项评分标准!$13:$14,2,1)),0)</f>
        <v>30</v>
      </c>
      <c r="K61" s="95">
        <v>4.15</v>
      </c>
      <c r="L61" s="94">
        <f>IF(K61&lt;&gt;"",IF(D61="男",HLOOKUP(K61,各项评分标准!$16:$18,3,1),HLOOKUP(K61,各项评分标准!$17:$18,2,1)),0)</f>
        <v>66</v>
      </c>
      <c r="M61" s="85">
        <v>7.48</v>
      </c>
      <c r="N61" s="94">
        <f>IF(M61&lt;&gt;"",IF(D61="男",HLOOKUP(M61,各项评分标准!$4:$6,3,1),HLOOKUP(M61,各项评分标准!$5:$6,2,1)),0)</f>
        <v>76</v>
      </c>
      <c r="O61" s="85">
        <v>260</v>
      </c>
      <c r="P61" s="94">
        <f>IF(O61&lt;&gt;"",IF(D61="男",HLOOKUP(O61,各项评分标准!$8:$10,3,1),HLOOKUP(O61,各项评分标准!$9:$10,2,1)),0)</f>
        <v>85</v>
      </c>
      <c r="Q61" s="96">
        <f t="shared" si="1"/>
        <v>64.25</v>
      </c>
      <c r="R61" s="97">
        <f t="shared" si="2"/>
        <v>51.4</v>
      </c>
      <c r="S61" s="98"/>
    </row>
    <row r="62" s="60" customFormat="1" spans="1:19">
      <c r="A62" s="85">
        <v>26</v>
      </c>
      <c r="B62" s="101" t="s">
        <v>138</v>
      </c>
      <c r="C62" s="101" t="s">
        <v>139</v>
      </c>
      <c r="D62" s="88" t="s">
        <v>21</v>
      </c>
      <c r="E62" s="85" t="s">
        <v>89</v>
      </c>
      <c r="F62" s="90"/>
      <c r="G62" s="91"/>
      <c r="H62" s="92">
        <f t="shared" si="3"/>
        <v>56.5</v>
      </c>
      <c r="I62" s="93">
        <v>2</v>
      </c>
      <c r="J62" s="94">
        <f>IF(I62&lt;&gt;"",IF(D62="男",HLOOKUP(I62,各项评分标准!$12:$14,3,1),HLOOKUP(I62,各项评分标准!$13:$14,2,1)),0)</f>
        <v>20</v>
      </c>
      <c r="K62" s="95">
        <v>4.41</v>
      </c>
      <c r="L62" s="94">
        <f>IF(K62&lt;&gt;"",IF(D62="男",HLOOKUP(K62,各项评分标准!$16:$18,3,1),HLOOKUP(K62,各项评分标准!$17:$18,2,1)),0)</f>
        <v>50</v>
      </c>
      <c r="M62" s="85">
        <v>7.23</v>
      </c>
      <c r="N62" s="94">
        <f>IF(M62&lt;&gt;"",IF(D62="男",HLOOKUP(M62,各项评分标准!$4:$6,3,1),HLOOKUP(M62,各项评分标准!$5:$6,2,1)),0)</f>
        <v>78</v>
      </c>
      <c r="O62" s="85">
        <v>248</v>
      </c>
      <c r="P62" s="94">
        <f>IF(O62&lt;&gt;"",IF(D62="男",HLOOKUP(O62,各项评分标准!$8:$10,3,1),HLOOKUP(O62,各项评分标准!$9:$10,2,1)),0)</f>
        <v>78</v>
      </c>
      <c r="Q62" s="96">
        <f t="shared" si="1"/>
        <v>56.5</v>
      </c>
      <c r="R62" s="97">
        <f t="shared" si="2"/>
        <v>45.2</v>
      </c>
      <c r="S62" s="98"/>
    </row>
    <row r="63" s="60" customFormat="1" spans="1:19">
      <c r="A63" s="85">
        <v>27</v>
      </c>
      <c r="B63" s="101" t="s">
        <v>140</v>
      </c>
      <c r="C63" s="101" t="s">
        <v>141</v>
      </c>
      <c r="D63" s="88" t="s">
        <v>21</v>
      </c>
      <c r="E63" s="85" t="s">
        <v>89</v>
      </c>
      <c r="F63" s="90"/>
      <c r="G63" s="91"/>
      <c r="H63" s="92">
        <f t="shared" si="3"/>
        <v>42</v>
      </c>
      <c r="I63" s="93">
        <v>0</v>
      </c>
      <c r="J63" s="94">
        <f>IF(I63&lt;&gt;"",IF(D63="男",HLOOKUP(I63,各项评分标准!$12:$14,3,1),HLOOKUP(I63,各项评分标准!$13:$14,2,1)),0)</f>
        <v>0</v>
      </c>
      <c r="K63" s="95">
        <v>5</v>
      </c>
      <c r="L63" s="94">
        <f>IF(K63&lt;&gt;"",IF(D63="男",HLOOKUP(K63,各项评分标准!$16:$18,3,1),HLOOKUP(K63,各项评分标准!$17:$18,2,1)),0)</f>
        <v>40</v>
      </c>
      <c r="M63" s="85">
        <v>8.22</v>
      </c>
      <c r="N63" s="94">
        <f>IF(M63&lt;&gt;"",IF(D63="男",HLOOKUP(M63,各项评分标准!$4:$6,3,1),HLOOKUP(M63,各项评分标准!$5:$6,2,1)),0)</f>
        <v>68</v>
      </c>
      <c r="O63" s="85">
        <v>210</v>
      </c>
      <c r="P63" s="94">
        <f>IF(O63&lt;&gt;"",IF(D63="男",HLOOKUP(O63,各项评分标准!$8:$10,3,1),HLOOKUP(O63,各项评分标准!$9:$10,2,1)),0)</f>
        <v>60</v>
      </c>
      <c r="Q63" s="96">
        <f t="shared" si="1"/>
        <v>42</v>
      </c>
      <c r="R63" s="97">
        <f t="shared" si="2"/>
        <v>33.6</v>
      </c>
      <c r="S63" s="98"/>
    </row>
    <row r="64" s="60" customFormat="1" spans="1:19">
      <c r="A64" s="85">
        <v>28</v>
      </c>
      <c r="B64" s="101" t="s">
        <v>142</v>
      </c>
      <c r="C64" s="101" t="s">
        <v>143</v>
      </c>
      <c r="D64" s="88" t="s">
        <v>21</v>
      </c>
      <c r="E64" s="85" t="s">
        <v>89</v>
      </c>
      <c r="F64" s="90"/>
      <c r="G64" s="91"/>
      <c r="H64" s="92">
        <f t="shared" si="3"/>
        <v>50</v>
      </c>
      <c r="I64" s="93">
        <v>2</v>
      </c>
      <c r="J64" s="94">
        <f>IF(I64&lt;&gt;"",IF(D64="男",HLOOKUP(I64,各项评分标准!$12:$14,3,1),HLOOKUP(I64,各项评分标准!$13:$14,2,1)),0)</f>
        <v>20</v>
      </c>
      <c r="K64" s="95">
        <v>4.51</v>
      </c>
      <c r="L64" s="94">
        <f>IF(K64&lt;&gt;"",IF(D64="男",HLOOKUP(K64,各项评分标准!$16:$18,3,1),HLOOKUP(K64,各项评分标准!$17:$18,2,1)),0)</f>
        <v>40</v>
      </c>
      <c r="M64" s="85">
        <v>7.42</v>
      </c>
      <c r="N64" s="94">
        <f>IF(M64&lt;&gt;"",IF(D64="男",HLOOKUP(M64,各项评分标准!$4:$6,3,1),HLOOKUP(M64,各项评分标准!$5:$6,2,1)),0)</f>
        <v>76</v>
      </c>
      <c r="O64" s="85">
        <v>220</v>
      </c>
      <c r="P64" s="94">
        <f>IF(O64&lt;&gt;"",IF(D64="男",HLOOKUP(O64,各项评分标准!$8:$10,3,1),HLOOKUP(O64,各项评分标准!$9:$10,2,1)),0)</f>
        <v>64</v>
      </c>
      <c r="Q64" s="96">
        <f t="shared" si="1"/>
        <v>50</v>
      </c>
      <c r="R64" s="97">
        <f t="shared" si="2"/>
        <v>40</v>
      </c>
      <c r="S64" s="98"/>
    </row>
    <row r="65" s="60" customFormat="1" spans="1:19">
      <c r="A65" s="85">
        <v>29</v>
      </c>
      <c r="B65" s="101" t="s">
        <v>144</v>
      </c>
      <c r="C65" s="101" t="s">
        <v>145</v>
      </c>
      <c r="D65" s="88" t="s">
        <v>28</v>
      </c>
      <c r="E65" s="85" t="s">
        <v>89</v>
      </c>
      <c r="F65" s="90"/>
      <c r="G65" s="91"/>
      <c r="H65" s="92">
        <f t="shared" si="3"/>
        <v>63.5</v>
      </c>
      <c r="I65" s="93">
        <v>30</v>
      </c>
      <c r="J65" s="94">
        <f>IF(I65&lt;&gt;"",IF(D65="男",HLOOKUP(I65,各项评分标准!$12:$14,3,1),HLOOKUP(I65,各项评分标准!$13:$14,2,1)),0)</f>
        <v>62</v>
      </c>
      <c r="K65" s="95">
        <v>4.22</v>
      </c>
      <c r="L65" s="94">
        <f>IF(K65&lt;&gt;"",IF(D65="男",HLOOKUP(K65,各项评分标准!$16:$18,3,1),HLOOKUP(K65,各项评分标准!$17:$18,2,1)),0)</f>
        <v>64</v>
      </c>
      <c r="M65" s="85">
        <v>9.75</v>
      </c>
      <c r="N65" s="94">
        <f>IF(M65&lt;&gt;"",IF(D65="男",HLOOKUP(M65,各项评分标准!$4:$6,3,1),HLOOKUP(M65,各项评分标准!$5:$6,2,1)),0)</f>
        <v>64</v>
      </c>
      <c r="O65" s="85">
        <v>160</v>
      </c>
      <c r="P65" s="94">
        <f>IF(O65&lt;&gt;"",IF(D65="男",HLOOKUP(O65,各项评分标准!$8:$10,3,1),HLOOKUP(O65,各项评分标准!$9:$10,2,1)),0)</f>
        <v>64</v>
      </c>
      <c r="Q65" s="96">
        <f t="shared" si="1"/>
        <v>63.5</v>
      </c>
      <c r="R65" s="97">
        <f t="shared" si="2"/>
        <v>50.8</v>
      </c>
      <c r="S65" s="98"/>
    </row>
    <row r="66" s="60" customFormat="1" spans="1:19">
      <c r="A66" s="85">
        <v>30</v>
      </c>
      <c r="B66" s="101" t="s">
        <v>146</v>
      </c>
      <c r="C66" s="101" t="s">
        <v>147</v>
      </c>
      <c r="D66" s="88" t="s">
        <v>21</v>
      </c>
      <c r="E66" s="85" t="s">
        <v>89</v>
      </c>
      <c r="F66" s="90"/>
      <c r="G66" s="91"/>
      <c r="H66" s="92">
        <f t="shared" si="3"/>
        <v>77.25</v>
      </c>
      <c r="I66" s="93">
        <v>17</v>
      </c>
      <c r="J66" s="94">
        <f>IF(I66&lt;&gt;"",IF(D66="男",HLOOKUP(I66,各项评分标准!$12:$14,3,1),HLOOKUP(I66,各项评分标准!$13:$14,2,1)),0)</f>
        <v>107</v>
      </c>
      <c r="K66" s="95">
        <v>4.49</v>
      </c>
      <c r="L66" s="94">
        <f>IF(K66&lt;&gt;"",IF(D66="男",HLOOKUP(K66,各项评分标准!$16:$18,3,1),HLOOKUP(K66,各项评分标准!$17:$18,2,1)),0)</f>
        <v>50</v>
      </c>
      <c r="M66" s="85">
        <v>7.01</v>
      </c>
      <c r="N66" s="94">
        <f>IF(M66&lt;&gt;"",IF(D66="男",HLOOKUP(M66,各项评分标准!$4:$6,3,1),HLOOKUP(M66,各项评分标准!$5:$6,2,1)),0)</f>
        <v>80</v>
      </c>
      <c r="O66" s="85">
        <v>235</v>
      </c>
      <c r="P66" s="94">
        <f>IF(O66&lt;&gt;"",IF(D66="男",HLOOKUP(O66,各项评分标准!$8:$10,3,1),HLOOKUP(O66,各项评分标准!$9:$10,2,1)),0)</f>
        <v>72</v>
      </c>
      <c r="Q66" s="96">
        <f t="shared" si="1"/>
        <v>77.25</v>
      </c>
      <c r="R66" s="97">
        <f t="shared" si="2"/>
        <v>61.8</v>
      </c>
      <c r="S66" s="98"/>
    </row>
    <row r="67" s="60" customFormat="1" spans="1:19">
      <c r="A67" s="85">
        <v>31</v>
      </c>
      <c r="B67" s="101" t="s">
        <v>148</v>
      </c>
      <c r="C67" s="85" t="s">
        <v>149</v>
      </c>
      <c r="D67" s="88" t="s">
        <v>28</v>
      </c>
      <c r="E67" s="85" t="s">
        <v>89</v>
      </c>
      <c r="F67" s="90"/>
      <c r="G67" s="91"/>
      <c r="H67" s="92">
        <f t="shared" si="3"/>
        <v>47</v>
      </c>
      <c r="I67" s="93">
        <v>12</v>
      </c>
      <c r="J67" s="94">
        <f>IF(I67&lt;&gt;"",IF(D67="男",HLOOKUP(I67,各项评分标准!$12:$14,3,1),HLOOKUP(I67,各项评分标准!$13:$14,2,1)),0)</f>
        <v>0</v>
      </c>
      <c r="K67" s="95">
        <v>4</v>
      </c>
      <c r="L67" s="94">
        <f>IF(K67&lt;&gt;"",IF(D67="男",HLOOKUP(K67,各项评分标准!$16:$18,3,1),HLOOKUP(K67,各项评分标准!$17:$18,2,1)),0)</f>
        <v>72</v>
      </c>
      <c r="M67" s="85">
        <v>10.37</v>
      </c>
      <c r="N67" s="94">
        <f>IF(M67&lt;&gt;"",IF(D67="男",HLOOKUP(M67,各项评分标准!$4:$6,3,1),HLOOKUP(M67,各项评分标准!$5:$6,2,1)),0)</f>
        <v>50</v>
      </c>
      <c r="O67" s="85">
        <v>161</v>
      </c>
      <c r="P67" s="94">
        <f>IF(O67&lt;&gt;"",IF(D67="男",HLOOKUP(O67,各项评分标准!$8:$10,3,1),HLOOKUP(O67,各项评分标准!$9:$10,2,1)),0)</f>
        <v>66</v>
      </c>
      <c r="Q67" s="96">
        <f t="shared" si="1"/>
        <v>47</v>
      </c>
      <c r="R67" s="97">
        <f t="shared" si="2"/>
        <v>37.6</v>
      </c>
      <c r="S67" s="98"/>
    </row>
    <row r="68" s="60" customFormat="1" spans="1:19">
      <c r="A68" s="85"/>
      <c r="B68" s="85"/>
      <c r="C68" s="85"/>
      <c r="D68" s="88"/>
      <c r="E68" s="85"/>
      <c r="F68" s="90"/>
      <c r="G68" s="91"/>
      <c r="H68" s="92">
        <f t="shared" si="3"/>
        <v>0</v>
      </c>
      <c r="I68" s="93"/>
      <c r="J68" s="94">
        <f>IF(I68&lt;&gt;"",IF(D68="男",HLOOKUP(I68,各项评分标准!$12:$14,3,1),HLOOKUP(I68,各项评分标准!$13:$14,2,1)),0)</f>
        <v>0</v>
      </c>
      <c r="K68" s="95"/>
      <c r="L68" s="94">
        <f>IF(K68&lt;&gt;"",IF(D68="男",HLOOKUP(K68,各项评分标准!$16:$18,3,1),HLOOKUP(K68,各项评分标准!$17:$18,2,1)),0)</f>
        <v>0</v>
      </c>
      <c r="M68" s="85"/>
      <c r="N68" s="94">
        <f>IF(M68&lt;&gt;"",IF(D68="男",HLOOKUP(M68,各项评分标准!$4:$6,3,1),HLOOKUP(M68,各项评分标准!$5:$6,2,1)),0)</f>
        <v>0</v>
      </c>
      <c r="O68" s="85"/>
      <c r="P68" s="94">
        <f>IF(O68&lt;&gt;"",IF(D68="男",HLOOKUP(O68,各项评分标准!$8:$10,3,1),HLOOKUP(O68,各项评分标准!$9:$10,2,1)),0)</f>
        <v>0</v>
      </c>
      <c r="Q68" s="96">
        <f t="shared" si="1"/>
        <v>0</v>
      </c>
      <c r="R68" s="97">
        <f t="shared" si="2"/>
        <v>0</v>
      </c>
      <c r="S68" s="98"/>
    </row>
    <row r="69" s="60" customFormat="1" spans="1:19">
      <c r="A69" s="85"/>
      <c r="B69" s="85"/>
      <c r="C69" s="85"/>
      <c r="D69" s="88"/>
      <c r="E69" s="85"/>
      <c r="F69" s="90"/>
      <c r="G69" s="91"/>
      <c r="H69" s="92">
        <f t="shared" si="3"/>
        <v>0</v>
      </c>
      <c r="I69" s="93"/>
      <c r="J69" s="94">
        <f>IF(I69&lt;&gt;"",IF(D69="男",HLOOKUP(I69,各项评分标准!$12:$14,3,1),HLOOKUP(I69,各项评分标准!$13:$14,2,1)),0)</f>
        <v>0</v>
      </c>
      <c r="K69" s="95"/>
      <c r="L69" s="94">
        <f>IF(K69&lt;&gt;"",IF(D69="男",HLOOKUP(K69,各项评分标准!$16:$18,3,1),HLOOKUP(K69,各项评分标准!$17:$18,2,1)),0)</f>
        <v>0</v>
      </c>
      <c r="M69" s="85"/>
      <c r="N69" s="94">
        <f>IF(M69&lt;&gt;"",IF(D69="男",HLOOKUP(M69,各项评分标准!$4:$6,3,1),HLOOKUP(M69,各项评分标准!$5:$6,2,1)),0)</f>
        <v>0</v>
      </c>
      <c r="O69" s="85"/>
      <c r="P69" s="94">
        <f>IF(O69&lt;&gt;"",IF(D69="男",HLOOKUP(O69,各项评分标准!$8:$10,3,1),HLOOKUP(O69,各项评分标准!$9:$10,2,1)),0)</f>
        <v>0</v>
      </c>
      <c r="Q69" s="96">
        <f t="shared" si="1"/>
        <v>0</v>
      </c>
      <c r="R69" s="97">
        <f t="shared" si="2"/>
        <v>0</v>
      </c>
      <c r="S69" s="98"/>
    </row>
    <row r="70" s="60" customFormat="1" spans="1:19">
      <c r="A70" s="85"/>
      <c r="B70" s="85"/>
      <c r="C70" s="85"/>
      <c r="D70" s="88"/>
      <c r="E70" s="85"/>
      <c r="F70" s="90"/>
      <c r="G70" s="91"/>
      <c r="H70" s="92">
        <f t="shared" si="3"/>
        <v>0</v>
      </c>
      <c r="I70" s="93"/>
      <c r="J70" s="94">
        <f>IF(I70&lt;&gt;"",IF(D70="男",HLOOKUP(I70,各项评分标准!$12:$14,3,1),HLOOKUP(I70,各项评分标准!$13:$14,2,1)),0)</f>
        <v>0</v>
      </c>
      <c r="K70" s="95"/>
      <c r="L70" s="94">
        <f>IF(K70&lt;&gt;"",IF(D70="男",HLOOKUP(K70,各项评分标准!$16:$18,3,1),HLOOKUP(K70,各项评分标准!$17:$18,2,1)),0)</f>
        <v>0</v>
      </c>
      <c r="M70" s="85"/>
      <c r="N70" s="94">
        <f>IF(M70&lt;&gt;"",IF(D70="男",HLOOKUP(M70,各项评分标准!$4:$6,3,1),HLOOKUP(M70,各项评分标准!$5:$6,2,1)),0)</f>
        <v>0</v>
      </c>
      <c r="O70" s="85"/>
      <c r="P70" s="94">
        <f>IF(O70&lt;&gt;"",IF(D70="男",HLOOKUP(O70,各项评分标准!$8:$10,3,1),HLOOKUP(O70,各项评分标准!$9:$10,2,1)),0)</f>
        <v>0</v>
      </c>
      <c r="Q70" s="96">
        <f t="shared" ref="Q70:Q133" si="4">(J70+L70+N70+P70)/4</f>
        <v>0</v>
      </c>
      <c r="R70" s="97">
        <f t="shared" ref="R70:R133" si="5">F70*10%+G70*10%+H70*80%</f>
        <v>0</v>
      </c>
      <c r="S70" s="100"/>
    </row>
    <row r="71" s="60" customFormat="1" spans="1:19">
      <c r="A71" s="85"/>
      <c r="B71" s="85"/>
      <c r="C71" s="85"/>
      <c r="D71" s="88"/>
      <c r="E71" s="85"/>
      <c r="F71" s="90"/>
      <c r="G71" s="91"/>
      <c r="H71" s="92">
        <f t="shared" si="3"/>
        <v>0</v>
      </c>
      <c r="I71" s="93"/>
      <c r="J71" s="94">
        <f>IF(I71&lt;&gt;"",IF(D71="男",HLOOKUP(I71,各项评分标准!$12:$14,3,1),HLOOKUP(I71,各项评分标准!$13:$14,2,1)),0)</f>
        <v>0</v>
      </c>
      <c r="K71" s="95"/>
      <c r="L71" s="94">
        <f>IF(K71&lt;&gt;"",IF(D71="男",HLOOKUP(K71,各项评分标准!$16:$18,3,1),HLOOKUP(K71,各项评分标准!$17:$18,2,1)),0)</f>
        <v>0</v>
      </c>
      <c r="M71" s="85"/>
      <c r="N71" s="94">
        <f>IF(M71&lt;&gt;"",IF(D71="男",HLOOKUP(M71,各项评分标准!$4:$6,3,1),HLOOKUP(M71,各项评分标准!$5:$6,2,1)),0)</f>
        <v>0</v>
      </c>
      <c r="O71" s="85"/>
      <c r="P71" s="94">
        <f>IF(O71&lt;&gt;"",IF(D71="男",HLOOKUP(O71,各项评分标准!$8:$10,3,1),HLOOKUP(O71,各项评分标准!$9:$10,2,1)),0)</f>
        <v>0</v>
      </c>
      <c r="Q71" s="96">
        <f t="shared" si="4"/>
        <v>0</v>
      </c>
      <c r="R71" s="97">
        <f t="shared" si="5"/>
        <v>0</v>
      </c>
      <c r="S71" s="98"/>
    </row>
    <row r="72" s="60" customFormat="1" spans="1:19">
      <c r="A72" s="85"/>
      <c r="B72" s="85"/>
      <c r="C72" s="85"/>
      <c r="D72" s="88"/>
      <c r="E72" s="85"/>
      <c r="F72" s="90"/>
      <c r="G72" s="91"/>
      <c r="H72" s="92">
        <f t="shared" si="3"/>
        <v>0</v>
      </c>
      <c r="I72" s="93"/>
      <c r="J72" s="94">
        <f>IF(I72&lt;&gt;"",IF(D72="男",HLOOKUP(I72,各项评分标准!$12:$14,3,1),HLOOKUP(I72,各项评分标准!$13:$14,2,1)),0)</f>
        <v>0</v>
      </c>
      <c r="K72" s="95"/>
      <c r="L72" s="94">
        <f>IF(K72&lt;&gt;"",IF(D72="男",HLOOKUP(K72,各项评分标准!$16:$18,3,1),HLOOKUP(K72,各项评分标准!$17:$18,2,1)),0)</f>
        <v>0</v>
      </c>
      <c r="M72" s="85"/>
      <c r="N72" s="94">
        <f>IF(M72&lt;&gt;"",IF(D72="男",HLOOKUP(M72,各项评分标准!$4:$6,3,1),HLOOKUP(M72,各项评分标准!$5:$6,2,1)),0)</f>
        <v>0</v>
      </c>
      <c r="O72" s="85"/>
      <c r="P72" s="94">
        <f>IF(O72&lt;&gt;"",IF(D72="男",HLOOKUP(O72,各项评分标准!$8:$10,3,1),HLOOKUP(O72,各项评分标准!$9:$10,2,1)),0)</f>
        <v>0</v>
      </c>
      <c r="Q72" s="96">
        <f t="shared" si="4"/>
        <v>0</v>
      </c>
      <c r="R72" s="97">
        <f t="shared" si="5"/>
        <v>0</v>
      </c>
      <c r="S72" s="98"/>
    </row>
    <row r="73" s="60" customFormat="1" spans="1:19">
      <c r="A73" s="85"/>
      <c r="B73" s="85"/>
      <c r="C73" s="85"/>
      <c r="D73" s="88"/>
      <c r="E73" s="85"/>
      <c r="F73" s="90"/>
      <c r="G73" s="91"/>
      <c r="H73" s="92">
        <f t="shared" si="3"/>
        <v>0</v>
      </c>
      <c r="I73" s="93"/>
      <c r="J73" s="94">
        <f>IF(I73&lt;&gt;"",IF(D73="男",HLOOKUP(I73,各项评分标准!$12:$14,3,1),HLOOKUP(I73,各项评分标准!$13:$14,2,1)),0)</f>
        <v>0</v>
      </c>
      <c r="K73" s="95"/>
      <c r="L73" s="94">
        <f>IF(K73&lt;&gt;"",IF(D73="男",HLOOKUP(K73,各项评分标准!$16:$18,3,1),HLOOKUP(K73,各项评分标准!$17:$18,2,1)),0)</f>
        <v>0</v>
      </c>
      <c r="M73" s="85"/>
      <c r="N73" s="94">
        <f>IF(M73&lt;&gt;"",IF(D73="男",HLOOKUP(M73,各项评分标准!$4:$6,3,1),HLOOKUP(M73,各项评分标准!$5:$6,2,1)),0)</f>
        <v>0</v>
      </c>
      <c r="O73" s="85"/>
      <c r="P73" s="94">
        <f>IF(O73&lt;&gt;"",IF(D73="男",HLOOKUP(O73,各项评分标准!$8:$10,3,1),HLOOKUP(O73,各项评分标准!$9:$10,2,1)),0)</f>
        <v>0</v>
      </c>
      <c r="Q73" s="96">
        <f t="shared" si="4"/>
        <v>0</v>
      </c>
      <c r="R73" s="97">
        <f t="shared" si="5"/>
        <v>0</v>
      </c>
      <c r="S73" s="98"/>
    </row>
    <row r="74" s="60" customFormat="1" spans="1:19">
      <c r="A74" s="85"/>
      <c r="B74" s="85"/>
      <c r="C74" s="85"/>
      <c r="D74" s="88"/>
      <c r="E74" s="85"/>
      <c r="F74" s="90"/>
      <c r="G74" s="91"/>
      <c r="H74" s="92">
        <f t="shared" si="3"/>
        <v>0</v>
      </c>
      <c r="I74" s="93"/>
      <c r="J74" s="94">
        <f>IF(I74&lt;&gt;"",IF(D74="男",HLOOKUP(I74,各项评分标准!$12:$14,3,1),HLOOKUP(I74,各项评分标准!$13:$14,2,1)),0)</f>
        <v>0</v>
      </c>
      <c r="K74" s="95"/>
      <c r="L74" s="94">
        <f>IF(K74&lt;&gt;"",IF(D74="男",HLOOKUP(K74,各项评分标准!$16:$18,3,1),HLOOKUP(K74,各项评分标准!$17:$18,2,1)),0)</f>
        <v>0</v>
      </c>
      <c r="M74" s="85"/>
      <c r="N74" s="94">
        <f>IF(M74&lt;&gt;"",IF(D74="男",HLOOKUP(M74,各项评分标准!$4:$6,3,1),HLOOKUP(M74,各项评分标准!$5:$6,2,1)),0)</f>
        <v>0</v>
      </c>
      <c r="O74" s="85"/>
      <c r="P74" s="94">
        <f>IF(O74&lt;&gt;"",IF(D74="男",HLOOKUP(O74,各项评分标准!$8:$10,3,1),HLOOKUP(O74,各项评分标准!$9:$10,2,1)),0)</f>
        <v>0</v>
      </c>
      <c r="Q74" s="96">
        <f t="shared" si="4"/>
        <v>0</v>
      </c>
      <c r="R74" s="97">
        <f t="shared" si="5"/>
        <v>0</v>
      </c>
      <c r="S74" s="98"/>
    </row>
    <row r="75" s="60" customFormat="1" spans="1:19">
      <c r="A75" s="85"/>
      <c r="B75" s="85"/>
      <c r="C75" s="85"/>
      <c r="D75" s="88"/>
      <c r="E75" s="85"/>
      <c r="F75" s="90"/>
      <c r="G75" s="91"/>
      <c r="H75" s="92">
        <f t="shared" si="3"/>
        <v>0</v>
      </c>
      <c r="I75" s="93"/>
      <c r="J75" s="94">
        <f>IF(I75&lt;&gt;"",IF(D75="男",HLOOKUP(I75,各项评分标准!$12:$14,3,1),HLOOKUP(I75,各项评分标准!$13:$14,2,1)),0)</f>
        <v>0</v>
      </c>
      <c r="K75" s="95"/>
      <c r="L75" s="94">
        <f>IF(K75&lt;&gt;"",IF(D75="男",HLOOKUP(K75,各项评分标准!$16:$18,3,1),HLOOKUP(K75,各项评分标准!$17:$18,2,1)),0)</f>
        <v>0</v>
      </c>
      <c r="M75" s="85"/>
      <c r="N75" s="94">
        <f>IF(M75&lt;&gt;"",IF(D75="男",HLOOKUP(M75,各项评分标准!$4:$6,3,1),HLOOKUP(M75,各项评分标准!$5:$6,2,1)),0)</f>
        <v>0</v>
      </c>
      <c r="O75" s="85"/>
      <c r="P75" s="94">
        <f>IF(O75&lt;&gt;"",IF(D75="男",HLOOKUP(O75,各项评分标准!$8:$10,3,1),HLOOKUP(O75,各项评分标准!$9:$10,2,1)),0)</f>
        <v>0</v>
      </c>
      <c r="Q75" s="96">
        <f t="shared" si="4"/>
        <v>0</v>
      </c>
      <c r="R75" s="97">
        <f t="shared" si="5"/>
        <v>0</v>
      </c>
      <c r="S75" s="98"/>
    </row>
    <row r="76" s="60" customFormat="1" spans="1:19">
      <c r="A76" s="85"/>
      <c r="B76" s="85"/>
      <c r="C76" s="85"/>
      <c r="D76" s="88"/>
      <c r="E76" s="85"/>
      <c r="F76" s="90"/>
      <c r="G76" s="91"/>
      <c r="H76" s="92">
        <f t="shared" si="3"/>
        <v>0</v>
      </c>
      <c r="I76" s="93"/>
      <c r="J76" s="94">
        <f>IF(I76&lt;&gt;"",IF(D76="男",HLOOKUP(I76,各项评分标准!$12:$14,3,1),HLOOKUP(I76,各项评分标准!$13:$14,2,1)),0)</f>
        <v>0</v>
      </c>
      <c r="K76" s="95"/>
      <c r="L76" s="94">
        <f>IF(K76&lt;&gt;"",IF(D76="男",HLOOKUP(K76,各项评分标准!$16:$18,3,1),HLOOKUP(K76,各项评分标准!$17:$18,2,1)),0)</f>
        <v>0</v>
      </c>
      <c r="M76" s="85"/>
      <c r="N76" s="94">
        <f>IF(M76&lt;&gt;"",IF(D76="男",HLOOKUP(M76,各项评分标准!$4:$6,3,1),HLOOKUP(M76,各项评分标准!$5:$6,2,1)),0)</f>
        <v>0</v>
      </c>
      <c r="O76" s="85"/>
      <c r="P76" s="94">
        <f>IF(O76&lt;&gt;"",IF(D76="男",HLOOKUP(O76,各项评分标准!$8:$10,3,1),HLOOKUP(O76,各项评分标准!$9:$10,2,1)),0)</f>
        <v>0</v>
      </c>
      <c r="Q76" s="96">
        <f t="shared" si="4"/>
        <v>0</v>
      </c>
      <c r="R76" s="97">
        <f t="shared" si="5"/>
        <v>0</v>
      </c>
      <c r="S76" s="98"/>
    </row>
    <row r="77" s="60" customFormat="1" spans="1:19">
      <c r="A77" s="85"/>
      <c r="B77" s="85"/>
      <c r="C77" s="85"/>
      <c r="D77" s="88"/>
      <c r="E77" s="85"/>
      <c r="F77" s="90"/>
      <c r="G77" s="91"/>
      <c r="H77" s="92">
        <f t="shared" si="3"/>
        <v>0</v>
      </c>
      <c r="I77" s="93"/>
      <c r="J77" s="94">
        <f>IF(I77&lt;&gt;"",IF(D77="男",HLOOKUP(I77,各项评分标准!$12:$14,3,1),HLOOKUP(I77,各项评分标准!$13:$14,2,1)),0)</f>
        <v>0</v>
      </c>
      <c r="K77" s="95"/>
      <c r="L77" s="94">
        <f>IF(K77&lt;&gt;"",IF(D77="男",HLOOKUP(K77,各项评分标准!$16:$18,3,1),HLOOKUP(K77,各项评分标准!$17:$18,2,1)),0)</f>
        <v>0</v>
      </c>
      <c r="M77" s="85"/>
      <c r="N77" s="94">
        <f>IF(M77&lt;&gt;"",IF(D77="男",HLOOKUP(M77,各项评分标准!$4:$6,3,1),HLOOKUP(M77,各项评分标准!$5:$6,2,1)),0)</f>
        <v>0</v>
      </c>
      <c r="O77" s="85"/>
      <c r="P77" s="94">
        <f>IF(O77&lt;&gt;"",IF(D77="男",HLOOKUP(O77,各项评分标准!$8:$10,3,1),HLOOKUP(O77,各项评分标准!$9:$10,2,1)),0)</f>
        <v>0</v>
      </c>
      <c r="Q77" s="96">
        <f t="shared" si="4"/>
        <v>0</v>
      </c>
      <c r="R77" s="97">
        <f t="shared" si="5"/>
        <v>0</v>
      </c>
      <c r="S77" s="98"/>
    </row>
    <row r="78" s="60" customFormat="1" spans="1:19">
      <c r="A78" s="85"/>
      <c r="B78" s="85"/>
      <c r="C78" s="85"/>
      <c r="D78" s="88"/>
      <c r="E78" s="85"/>
      <c r="F78" s="90"/>
      <c r="G78" s="91"/>
      <c r="H78" s="92">
        <f t="shared" si="3"/>
        <v>0</v>
      </c>
      <c r="I78" s="93"/>
      <c r="J78" s="94">
        <f>IF(I78&lt;&gt;"",IF(D78="男",HLOOKUP(I78,各项评分标准!$12:$14,3,1),HLOOKUP(I78,各项评分标准!$13:$14,2,1)),0)</f>
        <v>0</v>
      </c>
      <c r="K78" s="95"/>
      <c r="L78" s="94">
        <f>IF(K78&lt;&gt;"",IF(D78="男",HLOOKUP(K78,各项评分标准!$16:$18,3,1),HLOOKUP(K78,各项评分标准!$17:$18,2,1)),0)</f>
        <v>0</v>
      </c>
      <c r="M78" s="85"/>
      <c r="N78" s="94">
        <f>IF(M78&lt;&gt;"",IF(D78="男",HLOOKUP(M78,各项评分标准!$4:$6,3,1),HLOOKUP(M78,各项评分标准!$5:$6,2,1)),0)</f>
        <v>0</v>
      </c>
      <c r="O78" s="85"/>
      <c r="P78" s="94">
        <f>IF(O78&lt;&gt;"",IF(D78="男",HLOOKUP(O78,各项评分标准!$8:$10,3,1),HLOOKUP(O78,各项评分标准!$9:$10,2,1)),0)</f>
        <v>0</v>
      </c>
      <c r="Q78" s="96">
        <f t="shared" si="4"/>
        <v>0</v>
      </c>
      <c r="R78" s="97">
        <f t="shared" si="5"/>
        <v>0</v>
      </c>
      <c r="S78" s="98"/>
    </row>
    <row r="79" s="60" customFormat="1" spans="1:19">
      <c r="A79" s="85"/>
      <c r="B79" s="85"/>
      <c r="C79" s="85"/>
      <c r="D79" s="88"/>
      <c r="E79" s="85"/>
      <c r="F79" s="90"/>
      <c r="G79" s="91"/>
      <c r="H79" s="92">
        <f t="shared" si="3"/>
        <v>0</v>
      </c>
      <c r="I79" s="93"/>
      <c r="J79" s="94">
        <f>IF(I79&lt;&gt;"",IF(D79="男",HLOOKUP(I79,各项评分标准!$12:$14,3,1),HLOOKUP(I79,各项评分标准!$13:$14,2,1)),0)</f>
        <v>0</v>
      </c>
      <c r="K79" s="95"/>
      <c r="L79" s="94">
        <f>IF(K79&lt;&gt;"",IF(D79="男",HLOOKUP(K79,各项评分标准!$16:$18,3,1),HLOOKUP(K79,各项评分标准!$17:$18,2,1)),0)</f>
        <v>0</v>
      </c>
      <c r="M79" s="85"/>
      <c r="N79" s="94">
        <f>IF(M79&lt;&gt;"",IF(D79="男",HLOOKUP(M79,各项评分标准!$4:$6,3,1),HLOOKUP(M79,各项评分标准!$5:$6,2,1)),0)</f>
        <v>0</v>
      </c>
      <c r="O79" s="85"/>
      <c r="P79" s="94">
        <f>IF(O79&lt;&gt;"",IF(D79="男",HLOOKUP(O79,各项评分标准!$8:$10,3,1),HLOOKUP(O79,各项评分标准!$9:$10,2,1)),0)</f>
        <v>0</v>
      </c>
      <c r="Q79" s="96">
        <f t="shared" si="4"/>
        <v>0</v>
      </c>
      <c r="R79" s="97">
        <f t="shared" si="5"/>
        <v>0</v>
      </c>
      <c r="S79" s="98"/>
    </row>
    <row r="80" s="60" customFormat="1" spans="1:19">
      <c r="A80" s="85"/>
      <c r="B80" s="85"/>
      <c r="C80" s="85"/>
      <c r="D80" s="88"/>
      <c r="E80" s="85"/>
      <c r="F80" s="90"/>
      <c r="G80" s="91"/>
      <c r="H80" s="92">
        <f t="shared" si="3"/>
        <v>0</v>
      </c>
      <c r="I80" s="93"/>
      <c r="J80" s="94">
        <f>IF(I80&lt;&gt;"",IF(D80="男",HLOOKUP(I80,各项评分标准!$12:$14,3,1),HLOOKUP(I80,各项评分标准!$13:$14,2,1)),0)</f>
        <v>0</v>
      </c>
      <c r="K80" s="95"/>
      <c r="L80" s="94">
        <f>IF(K80&lt;&gt;"",IF(D80="男",HLOOKUP(K80,各项评分标准!$16:$18,3,1),HLOOKUP(K80,各项评分标准!$17:$18,2,1)),0)</f>
        <v>0</v>
      </c>
      <c r="M80" s="85"/>
      <c r="N80" s="94">
        <f>IF(M80&lt;&gt;"",IF(D80="男",HLOOKUP(M80,各项评分标准!$4:$6,3,1),HLOOKUP(M80,各项评分标准!$5:$6,2,1)),0)</f>
        <v>0</v>
      </c>
      <c r="O80" s="85"/>
      <c r="P80" s="94">
        <f>IF(O80&lt;&gt;"",IF(D80="男",HLOOKUP(O80,各项评分标准!$8:$10,3,1),HLOOKUP(O80,各项评分标准!$9:$10,2,1)),0)</f>
        <v>0</v>
      </c>
      <c r="Q80" s="96">
        <f t="shared" si="4"/>
        <v>0</v>
      </c>
      <c r="R80" s="97">
        <f t="shared" si="5"/>
        <v>0</v>
      </c>
      <c r="S80" s="98"/>
    </row>
    <row r="81" spans="1:19">
      <c r="A81" s="85"/>
      <c r="B81" s="85"/>
      <c r="C81" s="85"/>
      <c r="D81" s="88"/>
      <c r="E81" s="85"/>
      <c r="F81" s="90"/>
      <c r="G81" s="91"/>
      <c r="H81" s="92">
        <f t="shared" si="3"/>
        <v>0</v>
      </c>
      <c r="I81" s="93"/>
      <c r="J81" s="94">
        <f>IF(I81&lt;&gt;"",IF(D81="男",HLOOKUP(I81,各项评分标准!$12:$14,3,1),HLOOKUP(I81,各项评分标准!$13:$14,2,1)),0)</f>
        <v>0</v>
      </c>
      <c r="K81" s="95"/>
      <c r="L81" s="94">
        <f>IF(K81&lt;&gt;"",IF(D81="男",HLOOKUP(K81,各项评分标准!$16:$18,3,1),HLOOKUP(K81,各项评分标准!$17:$18,2,1)),0)</f>
        <v>0</v>
      </c>
      <c r="M81" s="85"/>
      <c r="N81" s="94">
        <f>IF(M81&lt;&gt;"",IF(D81="男",HLOOKUP(M81,各项评分标准!$4:$6,3,1),HLOOKUP(M81,各项评分标准!$5:$6,2,1)),0)</f>
        <v>0</v>
      </c>
      <c r="O81" s="85"/>
      <c r="P81" s="94">
        <f>IF(O81&lt;&gt;"",IF(D81="男",HLOOKUP(O81,各项评分标准!$8:$10,3,1),HLOOKUP(O81,各项评分标准!$9:$10,2,1)),0)</f>
        <v>0</v>
      </c>
      <c r="Q81" s="96">
        <f t="shared" si="4"/>
        <v>0</v>
      </c>
      <c r="R81" s="97">
        <f t="shared" si="5"/>
        <v>0</v>
      </c>
      <c r="S81" s="98"/>
    </row>
    <row r="82" spans="1:19">
      <c r="A82" s="85"/>
      <c r="B82" s="85"/>
      <c r="C82" s="85"/>
      <c r="D82" s="88"/>
      <c r="E82" s="85"/>
      <c r="F82" s="90"/>
      <c r="G82" s="91"/>
      <c r="H82" s="92">
        <f t="shared" si="3"/>
        <v>0</v>
      </c>
      <c r="I82" s="93"/>
      <c r="J82" s="94">
        <f>IF(I82&lt;&gt;"",IF(D82="男",HLOOKUP(I82,各项评分标准!$12:$14,3,1),HLOOKUP(I82,各项评分标准!$13:$14,2,1)),0)</f>
        <v>0</v>
      </c>
      <c r="K82" s="95"/>
      <c r="L82" s="94">
        <f>IF(K82&lt;&gt;"",IF(D82="男",HLOOKUP(K82,各项评分标准!$16:$18,3,1),HLOOKUP(K82,各项评分标准!$17:$18,2,1)),0)</f>
        <v>0</v>
      </c>
      <c r="M82" s="85"/>
      <c r="N82" s="94">
        <f>IF(M82&lt;&gt;"",IF(D82="男",HLOOKUP(M82,各项评分标准!$4:$6,3,1),HLOOKUP(M82,各项评分标准!$5:$6,2,1)),0)</f>
        <v>0</v>
      </c>
      <c r="O82" s="85"/>
      <c r="P82" s="94">
        <f>IF(O82&lt;&gt;"",IF(D82="男",HLOOKUP(O82,各项评分标准!$8:$10,3,1),HLOOKUP(O82,各项评分标准!$9:$10,2,1)),0)</f>
        <v>0</v>
      </c>
      <c r="Q82" s="96">
        <f t="shared" si="4"/>
        <v>0</v>
      </c>
      <c r="R82" s="97">
        <f t="shared" si="5"/>
        <v>0</v>
      </c>
      <c r="S82" s="98"/>
    </row>
    <row r="83" spans="1:19">
      <c r="A83" s="85"/>
      <c r="B83" s="85"/>
      <c r="C83" s="85"/>
      <c r="D83" s="88"/>
      <c r="E83" s="85"/>
      <c r="F83" s="90"/>
      <c r="G83" s="91"/>
      <c r="H83" s="92">
        <f t="shared" si="3"/>
        <v>0</v>
      </c>
      <c r="I83" s="93"/>
      <c r="J83" s="94">
        <f>IF(I83&lt;&gt;"",IF(D83="男",HLOOKUP(I83,各项评分标准!$12:$14,3,1),HLOOKUP(I83,各项评分标准!$13:$14,2,1)),0)</f>
        <v>0</v>
      </c>
      <c r="K83" s="95"/>
      <c r="L83" s="94">
        <f>IF(K83&lt;&gt;"",IF(D83="男",HLOOKUP(K83,各项评分标准!$16:$18,3,1),HLOOKUP(K83,各项评分标准!$17:$18,2,1)),0)</f>
        <v>0</v>
      </c>
      <c r="M83" s="85"/>
      <c r="N83" s="94">
        <f>IF(M83&lt;&gt;"",IF(D83="男",HLOOKUP(M83,各项评分标准!$4:$6,3,1),HLOOKUP(M83,各项评分标准!$5:$6,2,1)),0)</f>
        <v>0</v>
      </c>
      <c r="O83" s="85"/>
      <c r="P83" s="94">
        <f>IF(O83&lt;&gt;"",IF(D83="男",HLOOKUP(O83,各项评分标准!$8:$10,3,1),HLOOKUP(O83,各项评分标准!$9:$10,2,1)),0)</f>
        <v>0</v>
      </c>
      <c r="Q83" s="96">
        <f t="shared" si="4"/>
        <v>0</v>
      </c>
      <c r="R83" s="97">
        <f t="shared" si="5"/>
        <v>0</v>
      </c>
      <c r="S83" s="98"/>
    </row>
    <row r="84" spans="1:19">
      <c r="A84" s="85"/>
      <c r="B84" s="85"/>
      <c r="C84" s="85"/>
      <c r="D84" s="88"/>
      <c r="E84" s="85"/>
      <c r="F84" s="90"/>
      <c r="G84" s="91"/>
      <c r="H84" s="92">
        <f t="shared" si="3"/>
        <v>0</v>
      </c>
      <c r="I84" s="93"/>
      <c r="J84" s="94">
        <f>IF(I84&lt;&gt;"",IF(D84="男",HLOOKUP(I84,各项评分标准!$12:$14,3,1),HLOOKUP(I84,各项评分标准!$13:$14,2,1)),0)</f>
        <v>0</v>
      </c>
      <c r="K84" s="95"/>
      <c r="L84" s="94">
        <f>IF(K84&lt;&gt;"",IF(D84="男",HLOOKUP(K84,各项评分标准!$16:$18,3,1),HLOOKUP(K84,各项评分标准!$17:$18,2,1)),0)</f>
        <v>0</v>
      </c>
      <c r="M84" s="85"/>
      <c r="N84" s="94">
        <f>IF(M84&lt;&gt;"",IF(D84="男",HLOOKUP(M84,各项评分标准!$4:$6,3,1),HLOOKUP(M84,各项评分标准!$5:$6,2,1)),0)</f>
        <v>0</v>
      </c>
      <c r="O84" s="85"/>
      <c r="P84" s="94">
        <f>IF(O84&lt;&gt;"",IF(D84="男",HLOOKUP(O84,各项评分标准!$8:$10,3,1),HLOOKUP(O84,各项评分标准!$9:$10,2,1)),0)</f>
        <v>0</v>
      </c>
      <c r="Q84" s="96">
        <f t="shared" si="4"/>
        <v>0</v>
      </c>
      <c r="R84" s="97">
        <f t="shared" si="5"/>
        <v>0</v>
      </c>
      <c r="S84" s="98"/>
    </row>
    <row r="85" spans="1:19">
      <c r="A85" s="85"/>
      <c r="B85" s="85"/>
      <c r="C85" s="85"/>
      <c r="D85" s="88"/>
      <c r="E85" s="85"/>
      <c r="F85" s="90"/>
      <c r="G85" s="91"/>
      <c r="H85" s="92">
        <f t="shared" si="3"/>
        <v>0</v>
      </c>
      <c r="I85" s="93"/>
      <c r="J85" s="94">
        <f>IF(I85&lt;&gt;"",IF(D85="男",HLOOKUP(I85,各项评分标准!$12:$14,3,1),HLOOKUP(I85,各项评分标准!$13:$14,2,1)),0)</f>
        <v>0</v>
      </c>
      <c r="K85" s="95"/>
      <c r="L85" s="94">
        <f>IF(K85&lt;&gt;"",IF(D85="男",HLOOKUP(K85,各项评分标准!$16:$18,3,1),HLOOKUP(K85,各项评分标准!$17:$18,2,1)),0)</f>
        <v>0</v>
      </c>
      <c r="M85" s="85"/>
      <c r="N85" s="94">
        <f>IF(M85&lt;&gt;"",IF(D85="男",HLOOKUP(M85,各项评分标准!$4:$6,3,1),HLOOKUP(M85,各项评分标准!$5:$6,2,1)),0)</f>
        <v>0</v>
      </c>
      <c r="O85" s="85"/>
      <c r="P85" s="94">
        <f>IF(O85&lt;&gt;"",IF(D85="男",HLOOKUP(O85,各项评分标准!$8:$10,3,1),HLOOKUP(O85,各项评分标准!$9:$10,2,1)),0)</f>
        <v>0</v>
      </c>
      <c r="Q85" s="96">
        <f t="shared" si="4"/>
        <v>0</v>
      </c>
      <c r="R85" s="97">
        <f t="shared" si="5"/>
        <v>0</v>
      </c>
      <c r="S85" s="98"/>
    </row>
    <row r="86" spans="1:19">
      <c r="A86" s="85"/>
      <c r="B86" s="85"/>
      <c r="C86" s="85"/>
      <c r="D86" s="88"/>
      <c r="E86" s="85"/>
      <c r="F86" s="90"/>
      <c r="G86" s="91"/>
      <c r="H86" s="92">
        <f t="shared" si="3"/>
        <v>0</v>
      </c>
      <c r="I86" s="93"/>
      <c r="J86" s="94">
        <f>IF(I86&lt;&gt;"",IF(D86="男",HLOOKUP(I86,各项评分标准!$12:$14,3,1),HLOOKUP(I86,各项评分标准!$13:$14,2,1)),0)</f>
        <v>0</v>
      </c>
      <c r="K86" s="95"/>
      <c r="L86" s="94">
        <f>IF(K86&lt;&gt;"",IF(D86="男",HLOOKUP(K86,各项评分标准!$16:$18,3,1),HLOOKUP(K86,各项评分标准!$17:$18,2,1)),0)</f>
        <v>0</v>
      </c>
      <c r="M86" s="85"/>
      <c r="N86" s="94">
        <f>IF(M86&lt;&gt;"",IF(D86="男",HLOOKUP(M86,各项评分标准!$4:$6,3,1),HLOOKUP(M86,各项评分标准!$5:$6,2,1)),0)</f>
        <v>0</v>
      </c>
      <c r="O86" s="85"/>
      <c r="P86" s="94">
        <f>IF(O86&lt;&gt;"",IF(D86="男",HLOOKUP(O86,各项评分标准!$8:$10,3,1),HLOOKUP(O86,各项评分标准!$9:$10,2,1)),0)</f>
        <v>0</v>
      </c>
      <c r="Q86" s="96">
        <f t="shared" si="4"/>
        <v>0</v>
      </c>
      <c r="R86" s="97">
        <f t="shared" si="5"/>
        <v>0</v>
      </c>
      <c r="S86" s="98"/>
    </row>
    <row r="87" spans="1:19">
      <c r="A87" s="85"/>
      <c r="B87" s="85"/>
      <c r="C87" s="85"/>
      <c r="D87" s="88"/>
      <c r="E87" s="85"/>
      <c r="F87" s="90"/>
      <c r="G87" s="91"/>
      <c r="H87" s="92">
        <f t="shared" si="3"/>
        <v>0</v>
      </c>
      <c r="I87" s="93"/>
      <c r="J87" s="94">
        <f>IF(I87&lt;&gt;"",IF(D87="男",HLOOKUP(I87,各项评分标准!$12:$14,3,1),HLOOKUP(I87,各项评分标准!$13:$14,2,1)),0)</f>
        <v>0</v>
      </c>
      <c r="K87" s="95"/>
      <c r="L87" s="94">
        <f>IF(K87&lt;&gt;"",IF(D87="男",HLOOKUP(K87,各项评分标准!$16:$18,3,1),HLOOKUP(K87,各项评分标准!$17:$18,2,1)),0)</f>
        <v>0</v>
      </c>
      <c r="M87" s="85"/>
      <c r="N87" s="94">
        <f>IF(M87&lt;&gt;"",IF(D87="男",HLOOKUP(M87,各项评分标准!$4:$6,3,1),HLOOKUP(M87,各项评分标准!$5:$6,2,1)),0)</f>
        <v>0</v>
      </c>
      <c r="O87" s="85"/>
      <c r="P87" s="94">
        <f>IF(O87&lt;&gt;"",IF(D87="男",HLOOKUP(O87,各项评分标准!$8:$10,3,1),HLOOKUP(O87,各项评分标准!$9:$10,2,1)),0)</f>
        <v>0</v>
      </c>
      <c r="Q87" s="96">
        <f t="shared" si="4"/>
        <v>0</v>
      </c>
      <c r="R87" s="97">
        <f t="shared" si="5"/>
        <v>0</v>
      </c>
      <c r="S87" s="98"/>
    </row>
    <row r="88" spans="1:19">
      <c r="A88" s="85"/>
      <c r="B88" s="85"/>
      <c r="C88" s="85"/>
      <c r="D88" s="88"/>
      <c r="E88" s="85"/>
      <c r="F88" s="90"/>
      <c r="G88" s="91"/>
      <c r="H88" s="92">
        <f t="shared" si="3"/>
        <v>0</v>
      </c>
      <c r="I88" s="93"/>
      <c r="J88" s="94">
        <f>IF(I88&lt;&gt;"",IF(D88="男",HLOOKUP(I88,各项评分标准!$12:$14,3,1),HLOOKUP(I88,各项评分标准!$13:$14,2,1)),0)</f>
        <v>0</v>
      </c>
      <c r="K88" s="95"/>
      <c r="L88" s="94">
        <f>IF(K88&lt;&gt;"",IF(D88="男",HLOOKUP(K88,各项评分标准!$16:$18,3,1),HLOOKUP(K88,各项评分标准!$17:$18,2,1)),0)</f>
        <v>0</v>
      </c>
      <c r="M88" s="85"/>
      <c r="N88" s="94">
        <f>IF(M88&lt;&gt;"",IF(D88="男",HLOOKUP(M88,各项评分标准!$4:$6,3,1),HLOOKUP(M88,各项评分标准!$5:$6,2,1)),0)</f>
        <v>0</v>
      </c>
      <c r="O88" s="85"/>
      <c r="P88" s="94">
        <f>IF(O88&lt;&gt;"",IF(D88="男",HLOOKUP(O88,各项评分标准!$8:$10,3,1),HLOOKUP(O88,各项评分标准!$9:$10,2,1)),0)</f>
        <v>0</v>
      </c>
      <c r="Q88" s="96">
        <f t="shared" si="4"/>
        <v>0</v>
      </c>
      <c r="R88" s="97">
        <f t="shared" si="5"/>
        <v>0</v>
      </c>
      <c r="S88" s="98"/>
    </row>
    <row r="89" spans="1:19">
      <c r="A89" s="85"/>
      <c r="B89" s="85"/>
      <c r="C89" s="85"/>
      <c r="D89" s="88"/>
      <c r="E89" s="85"/>
      <c r="F89" s="90"/>
      <c r="G89" s="91"/>
      <c r="H89" s="92">
        <f t="shared" si="3"/>
        <v>0</v>
      </c>
      <c r="I89" s="93"/>
      <c r="J89" s="94">
        <f>IF(I89&lt;&gt;"",IF(D89="男",HLOOKUP(I89,各项评分标准!$12:$14,3,1),HLOOKUP(I89,各项评分标准!$13:$14,2,1)),0)</f>
        <v>0</v>
      </c>
      <c r="K89" s="95"/>
      <c r="L89" s="94">
        <f>IF(K89&lt;&gt;"",IF(D89="男",HLOOKUP(K89,各项评分标准!$16:$18,3,1),HLOOKUP(K89,各项评分标准!$17:$18,2,1)),0)</f>
        <v>0</v>
      </c>
      <c r="M89" s="85"/>
      <c r="N89" s="94">
        <f>IF(M89&lt;&gt;"",IF(D89="男",HLOOKUP(M89,各项评分标准!$4:$6,3,1),HLOOKUP(M89,各项评分标准!$5:$6,2,1)),0)</f>
        <v>0</v>
      </c>
      <c r="O89" s="85"/>
      <c r="P89" s="94">
        <f>IF(O89&lt;&gt;"",IF(D89="男",HLOOKUP(O89,各项评分标准!$8:$10,3,1),HLOOKUP(O89,各项评分标准!$9:$10,2,1)),0)</f>
        <v>0</v>
      </c>
      <c r="Q89" s="96">
        <f t="shared" si="4"/>
        <v>0</v>
      </c>
      <c r="R89" s="97">
        <f t="shared" si="5"/>
        <v>0</v>
      </c>
      <c r="S89" s="98"/>
    </row>
    <row r="90" spans="1:19">
      <c r="A90" s="85"/>
      <c r="B90" s="85"/>
      <c r="C90" s="85"/>
      <c r="D90" s="88"/>
      <c r="E90" s="85"/>
      <c r="F90" s="90"/>
      <c r="G90" s="91"/>
      <c r="H90" s="92">
        <f t="shared" si="3"/>
        <v>0</v>
      </c>
      <c r="I90" s="93"/>
      <c r="J90" s="94">
        <f>IF(I90&lt;&gt;"",IF(D90="男",HLOOKUP(I90,各项评分标准!$12:$14,3,1),HLOOKUP(I90,各项评分标准!$13:$14,2,1)),0)</f>
        <v>0</v>
      </c>
      <c r="K90" s="95"/>
      <c r="L90" s="94">
        <f>IF(K90&lt;&gt;"",IF(D90="男",HLOOKUP(K90,各项评分标准!$16:$18,3,1),HLOOKUP(K90,各项评分标准!$17:$18,2,1)),0)</f>
        <v>0</v>
      </c>
      <c r="M90" s="85"/>
      <c r="N90" s="94">
        <f>IF(M90&lt;&gt;"",IF(D90="男",HLOOKUP(M90,各项评分标准!$4:$6,3,1),HLOOKUP(M90,各项评分标准!$5:$6,2,1)),0)</f>
        <v>0</v>
      </c>
      <c r="O90" s="85"/>
      <c r="P90" s="94">
        <f>IF(O90&lt;&gt;"",IF(D90="男",HLOOKUP(O90,各项评分标准!$8:$10,3,1),HLOOKUP(O90,各项评分标准!$9:$10,2,1)),0)</f>
        <v>0</v>
      </c>
      <c r="Q90" s="96">
        <f t="shared" si="4"/>
        <v>0</v>
      </c>
      <c r="R90" s="97">
        <f t="shared" si="5"/>
        <v>0</v>
      </c>
      <c r="S90" s="98"/>
    </row>
    <row r="91" spans="1:19">
      <c r="A91" s="85"/>
      <c r="B91" s="85"/>
      <c r="C91" s="85"/>
      <c r="D91" s="88"/>
      <c r="E91" s="85"/>
      <c r="F91" s="90"/>
      <c r="G91" s="91"/>
      <c r="H91" s="92">
        <f t="shared" si="3"/>
        <v>0</v>
      </c>
      <c r="I91" s="93"/>
      <c r="J91" s="94">
        <f>IF(I91&lt;&gt;"",IF(D91="男",HLOOKUP(I91,各项评分标准!$12:$14,3,1),HLOOKUP(I91,各项评分标准!$13:$14,2,1)),0)</f>
        <v>0</v>
      </c>
      <c r="K91" s="95"/>
      <c r="L91" s="94">
        <f>IF(K91&lt;&gt;"",IF(D91="男",HLOOKUP(K91,各项评分标准!$16:$18,3,1),HLOOKUP(K91,各项评分标准!$17:$18,2,1)),0)</f>
        <v>0</v>
      </c>
      <c r="M91" s="85"/>
      <c r="N91" s="94">
        <f>IF(M91&lt;&gt;"",IF(D91="男",HLOOKUP(M91,各项评分标准!$4:$6,3,1),HLOOKUP(M91,各项评分标准!$5:$6,2,1)),0)</f>
        <v>0</v>
      </c>
      <c r="O91" s="85"/>
      <c r="P91" s="94">
        <f>IF(O91&lt;&gt;"",IF(D91="男",HLOOKUP(O91,各项评分标准!$8:$10,3,1),HLOOKUP(O91,各项评分标准!$9:$10,2,1)),0)</f>
        <v>0</v>
      </c>
      <c r="Q91" s="96">
        <f t="shared" si="4"/>
        <v>0</v>
      </c>
      <c r="R91" s="97">
        <f t="shared" si="5"/>
        <v>0</v>
      </c>
      <c r="S91" s="98"/>
    </row>
    <row r="92" spans="1:19">
      <c r="A92" s="85"/>
      <c r="B92" s="85"/>
      <c r="C92" s="85"/>
      <c r="D92" s="88"/>
      <c r="E92" s="85"/>
      <c r="F92" s="90"/>
      <c r="G92" s="91"/>
      <c r="H92" s="92">
        <f t="shared" si="3"/>
        <v>0</v>
      </c>
      <c r="I92" s="93"/>
      <c r="J92" s="94">
        <f>IF(I92&lt;&gt;"",IF(D92="男",HLOOKUP(I92,各项评分标准!$12:$14,3,1),HLOOKUP(I92,各项评分标准!$13:$14,2,1)),0)</f>
        <v>0</v>
      </c>
      <c r="K92" s="95"/>
      <c r="L92" s="94">
        <f>IF(K92&lt;&gt;"",IF(D92="男",HLOOKUP(K92,各项评分标准!$16:$18,3,1),HLOOKUP(K92,各项评分标准!$17:$18,2,1)),0)</f>
        <v>0</v>
      </c>
      <c r="M92" s="85"/>
      <c r="N92" s="94">
        <f>IF(M92&lt;&gt;"",IF(D92="男",HLOOKUP(M92,各项评分标准!$4:$6,3,1),HLOOKUP(M92,各项评分标准!$5:$6,2,1)),0)</f>
        <v>0</v>
      </c>
      <c r="O92" s="85"/>
      <c r="P92" s="94">
        <f>IF(O92&lt;&gt;"",IF(D92="男",HLOOKUP(O92,各项评分标准!$8:$10,3,1),HLOOKUP(O92,各项评分标准!$9:$10,2,1)),0)</f>
        <v>0</v>
      </c>
      <c r="Q92" s="96">
        <f t="shared" si="4"/>
        <v>0</v>
      </c>
      <c r="R92" s="97">
        <f t="shared" si="5"/>
        <v>0</v>
      </c>
      <c r="S92" s="98"/>
    </row>
    <row r="93" spans="1:19">
      <c r="A93" s="85"/>
      <c r="B93" s="85"/>
      <c r="C93" s="85"/>
      <c r="D93" s="88"/>
      <c r="E93" s="85"/>
      <c r="F93" s="90"/>
      <c r="G93" s="91"/>
      <c r="H93" s="92">
        <f t="shared" si="3"/>
        <v>0</v>
      </c>
      <c r="I93" s="93"/>
      <c r="J93" s="94">
        <f>IF(I93&lt;&gt;"",IF(D93="男",HLOOKUP(I93,各项评分标准!$12:$14,3,1),HLOOKUP(I93,各项评分标准!$13:$14,2,1)),0)</f>
        <v>0</v>
      </c>
      <c r="K93" s="95"/>
      <c r="L93" s="94">
        <f>IF(K93&lt;&gt;"",IF(D93="男",HLOOKUP(K93,各项评分标准!$16:$18,3,1),HLOOKUP(K93,各项评分标准!$17:$18,2,1)),0)</f>
        <v>0</v>
      </c>
      <c r="M93" s="85"/>
      <c r="N93" s="94">
        <f>IF(M93&lt;&gt;"",IF(D93="男",HLOOKUP(M93,各项评分标准!$4:$6,3,1),HLOOKUP(M93,各项评分标准!$5:$6,2,1)),0)</f>
        <v>0</v>
      </c>
      <c r="O93" s="85"/>
      <c r="P93" s="94">
        <f>IF(O93&lt;&gt;"",IF(D93="男",HLOOKUP(O93,各项评分标准!$8:$10,3,1),HLOOKUP(O93,各项评分标准!$9:$10,2,1)),0)</f>
        <v>0</v>
      </c>
      <c r="Q93" s="96">
        <f t="shared" si="4"/>
        <v>0</v>
      </c>
      <c r="R93" s="97">
        <f t="shared" si="5"/>
        <v>0</v>
      </c>
      <c r="S93" s="98"/>
    </row>
    <row r="94" spans="1:19">
      <c r="A94" s="85"/>
      <c r="B94" s="85"/>
      <c r="C94" s="85"/>
      <c r="D94" s="88"/>
      <c r="E94" s="85"/>
      <c r="F94" s="90"/>
      <c r="G94" s="91"/>
      <c r="H94" s="92">
        <f t="shared" si="3"/>
        <v>0</v>
      </c>
      <c r="I94" s="93"/>
      <c r="J94" s="94">
        <f>IF(I94&lt;&gt;"",IF(D94="男",HLOOKUP(I94,各项评分标准!$12:$14,3,1),HLOOKUP(I94,各项评分标准!$13:$14,2,1)),0)</f>
        <v>0</v>
      </c>
      <c r="K94" s="95"/>
      <c r="L94" s="94">
        <f>IF(K94&lt;&gt;"",IF(D94="男",HLOOKUP(K94,各项评分标准!$16:$18,3,1),HLOOKUP(K94,各项评分标准!$17:$18,2,1)),0)</f>
        <v>0</v>
      </c>
      <c r="M94" s="85"/>
      <c r="N94" s="94">
        <f>IF(M94&lt;&gt;"",IF(D94="男",HLOOKUP(M94,各项评分标准!$4:$6,3,1),HLOOKUP(M94,各项评分标准!$5:$6,2,1)),0)</f>
        <v>0</v>
      </c>
      <c r="O94" s="85"/>
      <c r="P94" s="94">
        <f>IF(O94&lt;&gt;"",IF(D94="男",HLOOKUP(O94,各项评分标准!$8:$10,3,1),HLOOKUP(O94,各项评分标准!$9:$10,2,1)),0)</f>
        <v>0</v>
      </c>
      <c r="Q94" s="96">
        <f t="shared" si="4"/>
        <v>0</v>
      </c>
      <c r="R94" s="97">
        <f t="shared" si="5"/>
        <v>0</v>
      </c>
      <c r="S94" s="98"/>
    </row>
    <row r="95" spans="1:19">
      <c r="A95" s="85"/>
      <c r="B95" s="85"/>
      <c r="C95" s="85"/>
      <c r="D95" s="88"/>
      <c r="E95" s="85"/>
      <c r="F95" s="90"/>
      <c r="G95" s="91"/>
      <c r="H95" s="92">
        <f t="shared" si="3"/>
        <v>0</v>
      </c>
      <c r="I95" s="93"/>
      <c r="J95" s="94">
        <f>IF(I95&lt;&gt;"",IF(D95="男",HLOOKUP(I95,各项评分标准!$12:$14,3,1),HLOOKUP(I95,各项评分标准!$13:$14,2,1)),0)</f>
        <v>0</v>
      </c>
      <c r="K95" s="95"/>
      <c r="L95" s="94">
        <f>IF(K95&lt;&gt;"",IF(D95="男",HLOOKUP(K95,各项评分标准!$16:$18,3,1),HLOOKUP(K95,各项评分标准!$17:$18,2,1)),0)</f>
        <v>0</v>
      </c>
      <c r="M95" s="85"/>
      <c r="N95" s="94">
        <f>IF(M95&lt;&gt;"",IF(D95="男",HLOOKUP(M95,各项评分标准!$4:$6,3,1),HLOOKUP(M95,各项评分标准!$5:$6,2,1)),0)</f>
        <v>0</v>
      </c>
      <c r="O95" s="85"/>
      <c r="P95" s="94">
        <f>IF(O95&lt;&gt;"",IF(D95="男",HLOOKUP(O95,各项评分标准!$8:$10,3,1),HLOOKUP(O95,各项评分标准!$9:$10,2,1)),0)</f>
        <v>0</v>
      </c>
      <c r="Q95" s="96">
        <f t="shared" si="4"/>
        <v>0</v>
      </c>
      <c r="R95" s="97">
        <f t="shared" si="5"/>
        <v>0</v>
      </c>
      <c r="S95" s="98"/>
    </row>
    <row r="96" spans="1:19">
      <c r="A96" s="85"/>
      <c r="B96" s="85"/>
      <c r="C96" s="85"/>
      <c r="D96" s="88"/>
      <c r="E96" s="85"/>
      <c r="F96" s="90"/>
      <c r="G96" s="91"/>
      <c r="H96" s="92">
        <f t="shared" si="3"/>
        <v>0</v>
      </c>
      <c r="I96" s="93"/>
      <c r="J96" s="94">
        <f>IF(I96&lt;&gt;"",IF(D96="男",HLOOKUP(I96,各项评分标准!$12:$14,3,1),HLOOKUP(I96,各项评分标准!$13:$14,2,1)),0)</f>
        <v>0</v>
      </c>
      <c r="K96" s="95"/>
      <c r="L96" s="94">
        <f>IF(K96&lt;&gt;"",IF(D96="男",HLOOKUP(K96,各项评分标准!$16:$18,3,1),HLOOKUP(K96,各项评分标准!$17:$18,2,1)),0)</f>
        <v>0</v>
      </c>
      <c r="M96" s="85"/>
      <c r="N96" s="94">
        <f>IF(M96&lt;&gt;"",IF(D96="男",HLOOKUP(M96,各项评分标准!$4:$6,3,1),HLOOKUP(M96,各项评分标准!$5:$6,2,1)),0)</f>
        <v>0</v>
      </c>
      <c r="O96" s="85"/>
      <c r="P96" s="94">
        <f>IF(O96&lt;&gt;"",IF(D96="男",HLOOKUP(O96,各项评分标准!$8:$10,3,1),HLOOKUP(O96,各项评分标准!$9:$10,2,1)),0)</f>
        <v>0</v>
      </c>
      <c r="Q96" s="96">
        <f t="shared" si="4"/>
        <v>0</v>
      </c>
      <c r="R96" s="97">
        <f t="shared" si="5"/>
        <v>0</v>
      </c>
      <c r="S96" s="98"/>
    </row>
    <row r="97" spans="1:19">
      <c r="A97" s="85"/>
      <c r="B97" s="85"/>
      <c r="C97" s="85"/>
      <c r="D97" s="88"/>
      <c r="E97" s="85"/>
      <c r="F97" s="90"/>
      <c r="G97" s="91"/>
      <c r="H97" s="92">
        <f t="shared" si="3"/>
        <v>0</v>
      </c>
      <c r="I97" s="93"/>
      <c r="J97" s="94">
        <f>IF(I97&lt;&gt;"",IF(D97="男",HLOOKUP(I97,各项评分标准!$12:$14,3,1),HLOOKUP(I97,各项评分标准!$13:$14,2,1)),0)</f>
        <v>0</v>
      </c>
      <c r="K97" s="95"/>
      <c r="L97" s="94">
        <f>IF(K97&lt;&gt;"",IF(D97="男",HLOOKUP(K97,各项评分标准!$16:$18,3,1),HLOOKUP(K97,各项评分标准!$17:$18,2,1)),0)</f>
        <v>0</v>
      </c>
      <c r="M97" s="85"/>
      <c r="N97" s="94">
        <f>IF(M97&lt;&gt;"",IF(D97="男",HLOOKUP(M97,各项评分标准!$4:$6,3,1),HLOOKUP(M97,各项评分标准!$5:$6,2,1)),0)</f>
        <v>0</v>
      </c>
      <c r="O97" s="85"/>
      <c r="P97" s="94">
        <f>IF(O97&lt;&gt;"",IF(D97="男",HLOOKUP(O97,各项评分标准!$8:$10,3,1),HLOOKUP(O97,各项评分标准!$9:$10,2,1)),0)</f>
        <v>0</v>
      </c>
      <c r="Q97" s="96">
        <f t="shared" si="4"/>
        <v>0</v>
      </c>
      <c r="R97" s="97">
        <f t="shared" si="5"/>
        <v>0</v>
      </c>
      <c r="S97" s="98"/>
    </row>
    <row r="98" spans="1:19">
      <c r="A98" s="85"/>
      <c r="B98" s="85"/>
      <c r="C98" s="85"/>
      <c r="D98" s="88"/>
      <c r="E98" s="85"/>
      <c r="F98" s="90"/>
      <c r="G98" s="91"/>
      <c r="H98" s="92">
        <f t="shared" ref="H98:H101" si="6">Q98</f>
        <v>0</v>
      </c>
      <c r="I98" s="93"/>
      <c r="J98" s="94">
        <f>IF(I98&lt;&gt;"",IF(D98="男",HLOOKUP(I98,各项评分标准!$12:$14,3,1),HLOOKUP(I98,各项评分标准!$13:$14,2,1)),0)</f>
        <v>0</v>
      </c>
      <c r="K98" s="95"/>
      <c r="L98" s="94">
        <f>IF(K98&lt;&gt;"",IF(D98="男",HLOOKUP(K98,各项评分标准!$16:$18,3,1),HLOOKUP(K98,各项评分标准!$17:$18,2,1)),0)</f>
        <v>0</v>
      </c>
      <c r="M98" s="85"/>
      <c r="N98" s="94">
        <f>IF(M98&lt;&gt;"",IF(D98="男",HLOOKUP(M98,各项评分标准!$4:$6,3,1),HLOOKUP(M98,各项评分标准!$5:$6,2,1)),0)</f>
        <v>0</v>
      </c>
      <c r="O98" s="85"/>
      <c r="P98" s="94">
        <f>IF(O98&lt;&gt;"",IF(D98="男",HLOOKUP(O98,各项评分标准!$8:$10,3,1),HLOOKUP(O98,各项评分标准!$9:$10,2,1)),0)</f>
        <v>0</v>
      </c>
      <c r="Q98" s="96">
        <f t="shared" si="4"/>
        <v>0</v>
      </c>
      <c r="R98" s="97">
        <f t="shared" si="5"/>
        <v>0</v>
      </c>
      <c r="S98" s="98"/>
    </row>
    <row r="99" spans="1:19">
      <c r="A99" s="85"/>
      <c r="B99" s="85"/>
      <c r="C99" s="85"/>
      <c r="D99" s="88"/>
      <c r="E99" s="85"/>
      <c r="F99" s="90"/>
      <c r="G99" s="91"/>
      <c r="H99" s="92">
        <f t="shared" si="6"/>
        <v>0</v>
      </c>
      <c r="I99" s="93"/>
      <c r="J99" s="94">
        <f>IF(I99&lt;&gt;"",IF(D99="男",HLOOKUP(I99,各项评分标准!$12:$14,3,1),HLOOKUP(I99,各项评分标准!$13:$14,2,1)),0)</f>
        <v>0</v>
      </c>
      <c r="K99" s="95"/>
      <c r="L99" s="94">
        <f>IF(K99&lt;&gt;"",IF(D99="男",HLOOKUP(K99,各项评分标准!$16:$18,3,1),HLOOKUP(K99,各项评分标准!$17:$18,2,1)),0)</f>
        <v>0</v>
      </c>
      <c r="M99" s="85"/>
      <c r="N99" s="94">
        <f>IF(M99&lt;&gt;"",IF(D99="男",HLOOKUP(M99,各项评分标准!$4:$6,3,1),HLOOKUP(M99,各项评分标准!$5:$6,2,1)),0)</f>
        <v>0</v>
      </c>
      <c r="O99" s="85"/>
      <c r="P99" s="94">
        <f>IF(O99&lt;&gt;"",IF(D99="男",HLOOKUP(O99,各项评分标准!$8:$10,3,1),HLOOKUP(O99,各项评分标准!$9:$10,2,1)),0)</f>
        <v>0</v>
      </c>
      <c r="Q99" s="96">
        <f t="shared" si="4"/>
        <v>0</v>
      </c>
      <c r="R99" s="97">
        <f t="shared" si="5"/>
        <v>0</v>
      </c>
      <c r="S99" s="98"/>
    </row>
    <row r="100" spans="1:19">
      <c r="A100" s="85"/>
      <c r="B100" s="85"/>
      <c r="C100" s="85"/>
      <c r="D100" s="88"/>
      <c r="E100" s="85"/>
      <c r="F100" s="90"/>
      <c r="G100" s="91"/>
      <c r="H100" s="92">
        <f t="shared" si="6"/>
        <v>0</v>
      </c>
      <c r="I100" s="93"/>
      <c r="J100" s="94">
        <f>IF(I100&lt;&gt;"",IF(D100="男",HLOOKUP(I100,各项评分标准!$12:$14,3,1),HLOOKUP(I100,各项评分标准!$13:$14,2,1)),0)</f>
        <v>0</v>
      </c>
      <c r="K100" s="95"/>
      <c r="L100" s="94">
        <f>IF(K100&lt;&gt;"",IF(D100="男",HLOOKUP(K100,各项评分标准!$16:$18,3,1),HLOOKUP(K100,各项评分标准!$17:$18,2,1)),0)</f>
        <v>0</v>
      </c>
      <c r="M100" s="85"/>
      <c r="N100" s="94">
        <f>IF(M100&lt;&gt;"",IF(D100="男",HLOOKUP(M100,各项评分标准!$4:$6,3,1),HLOOKUP(M100,各项评分标准!$5:$6,2,1)),0)</f>
        <v>0</v>
      </c>
      <c r="O100" s="85"/>
      <c r="P100" s="94">
        <f>IF(O100&lt;&gt;"",IF(D100="男",HLOOKUP(O100,各项评分标准!$8:$10,3,1),HLOOKUP(O100,各项评分标准!$9:$10,2,1)),0)</f>
        <v>0</v>
      </c>
      <c r="Q100" s="96">
        <f t="shared" si="4"/>
        <v>0</v>
      </c>
      <c r="R100" s="97">
        <f t="shared" si="5"/>
        <v>0</v>
      </c>
      <c r="S100" s="98"/>
    </row>
    <row r="101" spans="1:19">
      <c r="A101" s="85"/>
      <c r="B101" s="85"/>
      <c r="C101" s="85"/>
      <c r="D101" s="88"/>
      <c r="E101" s="85"/>
      <c r="F101" s="90"/>
      <c r="G101" s="91"/>
      <c r="H101" s="92">
        <f t="shared" si="6"/>
        <v>0</v>
      </c>
      <c r="I101" s="93"/>
      <c r="J101" s="94">
        <f>IF(I101&lt;&gt;"",IF(D101="男",HLOOKUP(I101,各项评分标准!$12:$14,3,1),HLOOKUP(I101,各项评分标准!$13:$14,2,1)),0)</f>
        <v>0</v>
      </c>
      <c r="K101" s="95"/>
      <c r="L101" s="94">
        <f>IF(K101&lt;&gt;"",IF(D101="男",HLOOKUP(K101,各项评分标准!$16:$18,3,1),HLOOKUP(K101,各项评分标准!$17:$18,2,1)),0)</f>
        <v>0</v>
      </c>
      <c r="M101" s="85"/>
      <c r="N101" s="94">
        <f>IF(M101&lt;&gt;"",IF(D101="男",HLOOKUP(M101,各项评分标准!$4:$6,3,1),HLOOKUP(M101,各项评分标准!$5:$6,2,1)),0)</f>
        <v>0</v>
      </c>
      <c r="O101" s="85"/>
      <c r="P101" s="94">
        <f>IF(O101&lt;&gt;"",IF(D101="男",HLOOKUP(O101,各项评分标准!$8:$10,3,1),HLOOKUP(O101,各项评分标准!$9:$10,2,1)),0)</f>
        <v>0</v>
      </c>
      <c r="Q101" s="96">
        <f t="shared" si="4"/>
        <v>0</v>
      </c>
      <c r="R101" s="97">
        <f t="shared" si="5"/>
        <v>0</v>
      </c>
      <c r="S101" s="98"/>
    </row>
    <row r="102" spans="1:19">
      <c r="A102" s="85"/>
      <c r="B102" s="85"/>
      <c r="C102" s="85"/>
      <c r="D102" s="88"/>
      <c r="E102" s="85"/>
      <c r="F102" s="90"/>
      <c r="G102" s="91"/>
      <c r="H102" s="92">
        <f t="shared" ref="H102:H136" si="7">Q102</f>
        <v>0</v>
      </c>
      <c r="I102" s="93"/>
      <c r="J102" s="94">
        <f>IF(I102&lt;&gt;"",IF(D102="男",HLOOKUP(I102,各项评分标准!$12:$14,3,1),HLOOKUP(I102,各项评分标准!$13:$14,2,1)),0)</f>
        <v>0</v>
      </c>
      <c r="K102" s="95"/>
      <c r="L102" s="94">
        <f>IF(K102&lt;&gt;"",IF(D102="男",HLOOKUP(K102,各项评分标准!$16:$18,3,1),HLOOKUP(K102,各项评分标准!$17:$18,2,1)),0)</f>
        <v>0</v>
      </c>
      <c r="M102" s="85"/>
      <c r="N102" s="94">
        <f>IF(M102&lt;&gt;"",IF(D102="男",HLOOKUP(M102,各项评分标准!$4:$6,3,1),HLOOKUP(M102,各项评分标准!$5:$6,2,1)),0)</f>
        <v>0</v>
      </c>
      <c r="O102" s="85"/>
      <c r="P102" s="94">
        <f>IF(O102&lt;&gt;"",IF(D102="男",HLOOKUP(O102,各项评分标准!$8:$10,3,1),HLOOKUP(O102,各项评分标准!$9:$10,2,1)),0)</f>
        <v>0</v>
      </c>
      <c r="Q102" s="96">
        <f t="shared" si="4"/>
        <v>0</v>
      </c>
      <c r="R102" s="97">
        <f t="shared" si="5"/>
        <v>0</v>
      </c>
      <c r="S102" s="98"/>
    </row>
    <row r="103" spans="1:19">
      <c r="A103" s="85"/>
      <c r="B103" s="85"/>
      <c r="C103" s="85"/>
      <c r="D103" s="88"/>
      <c r="E103" s="85"/>
      <c r="F103" s="90"/>
      <c r="G103" s="91"/>
      <c r="H103" s="92">
        <f t="shared" si="7"/>
        <v>0</v>
      </c>
      <c r="I103" s="93"/>
      <c r="J103" s="94">
        <f>IF(I103&lt;&gt;"",IF(D103="男",HLOOKUP(I103,各项评分标准!$12:$14,3,1),HLOOKUP(I103,各项评分标准!$13:$14,2,1)),0)</f>
        <v>0</v>
      </c>
      <c r="K103" s="95"/>
      <c r="L103" s="94">
        <f>IF(K103&lt;&gt;"",IF(D103="男",HLOOKUP(K103,各项评分标准!$16:$18,3,1),HLOOKUP(K103,各项评分标准!$17:$18,2,1)),0)</f>
        <v>0</v>
      </c>
      <c r="M103" s="85"/>
      <c r="N103" s="94">
        <f>IF(M103&lt;&gt;"",IF(D103="男",HLOOKUP(M103,各项评分标准!$4:$6,3,1),HLOOKUP(M103,各项评分标准!$5:$6,2,1)),0)</f>
        <v>0</v>
      </c>
      <c r="O103" s="85"/>
      <c r="P103" s="94">
        <f>IF(O103&lt;&gt;"",IF(D103="男",HLOOKUP(O103,各项评分标准!$8:$10,3,1),HLOOKUP(O103,各项评分标准!$9:$10,2,1)),0)</f>
        <v>0</v>
      </c>
      <c r="Q103" s="96">
        <f t="shared" si="4"/>
        <v>0</v>
      </c>
      <c r="R103" s="97">
        <f t="shared" si="5"/>
        <v>0</v>
      </c>
      <c r="S103" s="98"/>
    </row>
    <row r="104" spans="1:19">
      <c r="A104" s="85"/>
      <c r="B104" s="85"/>
      <c r="C104" s="85"/>
      <c r="D104" s="88"/>
      <c r="E104" s="85"/>
      <c r="F104" s="90"/>
      <c r="G104" s="91"/>
      <c r="H104" s="92">
        <f t="shared" si="7"/>
        <v>0</v>
      </c>
      <c r="I104" s="93"/>
      <c r="J104" s="94">
        <f>IF(I104&lt;&gt;"",IF(D104="男",HLOOKUP(I104,各项评分标准!$12:$14,3,1),HLOOKUP(I104,各项评分标准!$13:$14,2,1)),0)</f>
        <v>0</v>
      </c>
      <c r="K104" s="95"/>
      <c r="L104" s="94">
        <f>IF(K104&lt;&gt;"",IF(D104="男",HLOOKUP(K104,各项评分标准!$16:$18,3,1),HLOOKUP(K104,各项评分标准!$17:$18,2,1)),0)</f>
        <v>0</v>
      </c>
      <c r="M104" s="85"/>
      <c r="N104" s="94">
        <f>IF(M104&lt;&gt;"",IF(D104="男",HLOOKUP(M104,各项评分标准!$4:$6,3,1),HLOOKUP(M104,各项评分标准!$5:$6,2,1)),0)</f>
        <v>0</v>
      </c>
      <c r="O104" s="85"/>
      <c r="P104" s="94">
        <f>IF(O104&lt;&gt;"",IF(D104="男",HLOOKUP(O104,各项评分标准!$8:$10,3,1),HLOOKUP(O104,各项评分标准!$9:$10,2,1)),0)</f>
        <v>0</v>
      </c>
      <c r="Q104" s="96">
        <f t="shared" si="4"/>
        <v>0</v>
      </c>
      <c r="R104" s="97">
        <f t="shared" si="5"/>
        <v>0</v>
      </c>
      <c r="S104" s="98"/>
    </row>
    <row r="105" spans="1:19">
      <c r="A105" s="85"/>
      <c r="B105" s="85"/>
      <c r="C105" s="85"/>
      <c r="D105" s="88"/>
      <c r="E105" s="85"/>
      <c r="F105" s="90"/>
      <c r="G105" s="91"/>
      <c r="H105" s="92">
        <f t="shared" si="7"/>
        <v>0</v>
      </c>
      <c r="I105" s="93"/>
      <c r="J105" s="94">
        <f>IF(I105&lt;&gt;"",IF(D105="男",HLOOKUP(I105,各项评分标准!$12:$14,3,1),HLOOKUP(I105,各项评分标准!$13:$14,2,1)),0)</f>
        <v>0</v>
      </c>
      <c r="K105" s="95"/>
      <c r="L105" s="94">
        <f>IF(K105&lt;&gt;"",IF(D105="男",HLOOKUP(K105,各项评分标准!$16:$18,3,1),HLOOKUP(K105,各项评分标准!$17:$18,2,1)),0)</f>
        <v>0</v>
      </c>
      <c r="M105" s="85"/>
      <c r="N105" s="94">
        <f>IF(M105&lt;&gt;"",IF(D105="男",HLOOKUP(M105,各项评分标准!$4:$6,3,1),HLOOKUP(M105,各项评分标准!$5:$6,2,1)),0)</f>
        <v>0</v>
      </c>
      <c r="O105" s="85"/>
      <c r="P105" s="94">
        <f>IF(O105&lt;&gt;"",IF(D105="男",HLOOKUP(O105,各项评分标准!$8:$10,3,1),HLOOKUP(O105,各项评分标准!$9:$10,2,1)),0)</f>
        <v>0</v>
      </c>
      <c r="Q105" s="96">
        <f t="shared" si="4"/>
        <v>0</v>
      </c>
      <c r="R105" s="97">
        <f t="shared" si="5"/>
        <v>0</v>
      </c>
      <c r="S105" s="98"/>
    </row>
    <row r="106" spans="1:19">
      <c r="A106" s="85"/>
      <c r="B106" s="85"/>
      <c r="C106" s="85"/>
      <c r="D106" s="88"/>
      <c r="E106" s="85"/>
      <c r="F106" s="90"/>
      <c r="G106" s="91"/>
      <c r="H106" s="92">
        <f t="shared" si="7"/>
        <v>0</v>
      </c>
      <c r="I106" s="93"/>
      <c r="J106" s="94">
        <f>IF(I106&lt;&gt;"",IF(D106="男",HLOOKUP(I106,各项评分标准!$12:$14,3,1),HLOOKUP(I106,各项评分标准!$13:$14,2,1)),0)</f>
        <v>0</v>
      </c>
      <c r="K106" s="95"/>
      <c r="L106" s="94">
        <f>IF(K106&lt;&gt;"",IF(D106="男",HLOOKUP(K106,各项评分标准!$16:$18,3,1),HLOOKUP(K106,各项评分标准!$17:$18,2,1)),0)</f>
        <v>0</v>
      </c>
      <c r="M106" s="85"/>
      <c r="N106" s="94">
        <f>IF(M106&lt;&gt;"",IF(D106="男",HLOOKUP(M106,各项评分标准!$4:$6,3,1),HLOOKUP(M106,各项评分标准!$5:$6,2,1)),0)</f>
        <v>0</v>
      </c>
      <c r="O106" s="85"/>
      <c r="P106" s="94">
        <f>IF(O106&lt;&gt;"",IF(D106="男",HLOOKUP(O106,各项评分标准!$8:$10,3,1),HLOOKUP(O106,各项评分标准!$9:$10,2,1)),0)</f>
        <v>0</v>
      </c>
      <c r="Q106" s="96">
        <f t="shared" si="4"/>
        <v>0</v>
      </c>
      <c r="R106" s="97">
        <f t="shared" si="5"/>
        <v>0</v>
      </c>
      <c r="S106" s="98"/>
    </row>
    <row r="107" spans="1:19">
      <c r="A107" s="85"/>
      <c r="B107" s="85"/>
      <c r="C107" s="85"/>
      <c r="D107" s="88"/>
      <c r="E107" s="85"/>
      <c r="F107" s="90"/>
      <c r="G107" s="91"/>
      <c r="H107" s="92">
        <f t="shared" si="7"/>
        <v>0</v>
      </c>
      <c r="I107" s="93"/>
      <c r="J107" s="94">
        <f>IF(I107&lt;&gt;"",IF(D107="男",HLOOKUP(I107,各项评分标准!$12:$14,3,1),HLOOKUP(I107,各项评分标准!$13:$14,2,1)),0)</f>
        <v>0</v>
      </c>
      <c r="K107" s="95"/>
      <c r="L107" s="94">
        <f>IF(K107&lt;&gt;"",IF(D107="男",HLOOKUP(K107,各项评分标准!$16:$18,3,1),HLOOKUP(K107,各项评分标准!$17:$18,2,1)),0)</f>
        <v>0</v>
      </c>
      <c r="M107" s="85"/>
      <c r="N107" s="94">
        <f>IF(M107&lt;&gt;"",IF(D107="男",HLOOKUP(M107,各项评分标准!$4:$6,3,1),HLOOKUP(M107,各项评分标准!$5:$6,2,1)),0)</f>
        <v>0</v>
      </c>
      <c r="O107" s="85"/>
      <c r="P107" s="94">
        <f>IF(O107&lt;&gt;"",IF(D107="男",HLOOKUP(O107,各项评分标准!$8:$10,3,1),HLOOKUP(O107,各项评分标准!$9:$10,2,1)),0)</f>
        <v>0</v>
      </c>
      <c r="Q107" s="96">
        <f t="shared" si="4"/>
        <v>0</v>
      </c>
      <c r="R107" s="97">
        <f t="shared" si="5"/>
        <v>0</v>
      </c>
      <c r="S107" s="98"/>
    </row>
    <row r="108" spans="1:19">
      <c r="A108" s="85"/>
      <c r="B108" s="85"/>
      <c r="C108" s="85"/>
      <c r="D108" s="88"/>
      <c r="E108" s="85"/>
      <c r="F108" s="90"/>
      <c r="G108" s="91"/>
      <c r="H108" s="92">
        <f t="shared" si="7"/>
        <v>0</v>
      </c>
      <c r="I108" s="93"/>
      <c r="J108" s="94">
        <f>IF(I108&lt;&gt;"",IF(D108="男",HLOOKUP(I108,各项评分标准!$12:$14,3,1),HLOOKUP(I108,各项评分标准!$13:$14,2,1)),0)</f>
        <v>0</v>
      </c>
      <c r="K108" s="95"/>
      <c r="L108" s="94">
        <f>IF(K108&lt;&gt;"",IF(D108="男",HLOOKUP(K108,各项评分标准!$16:$18,3,1),HLOOKUP(K108,各项评分标准!$17:$18,2,1)),0)</f>
        <v>0</v>
      </c>
      <c r="M108" s="85"/>
      <c r="N108" s="94">
        <f>IF(M108&lt;&gt;"",IF(D108="男",HLOOKUP(M108,各项评分标准!$4:$6,3,1),HLOOKUP(M108,各项评分标准!$5:$6,2,1)),0)</f>
        <v>0</v>
      </c>
      <c r="O108" s="85"/>
      <c r="P108" s="94">
        <f>IF(O108&lt;&gt;"",IF(D108="男",HLOOKUP(O108,各项评分标准!$8:$10,3,1),HLOOKUP(O108,各项评分标准!$9:$10,2,1)),0)</f>
        <v>0</v>
      </c>
      <c r="Q108" s="96">
        <f t="shared" si="4"/>
        <v>0</v>
      </c>
      <c r="R108" s="97">
        <f t="shared" si="5"/>
        <v>0</v>
      </c>
      <c r="S108" s="98"/>
    </row>
    <row r="109" spans="1:19">
      <c r="A109" s="85"/>
      <c r="B109" s="85"/>
      <c r="C109" s="85"/>
      <c r="D109" s="88"/>
      <c r="E109" s="85"/>
      <c r="F109" s="90"/>
      <c r="G109" s="91"/>
      <c r="H109" s="92">
        <f t="shared" si="7"/>
        <v>0</v>
      </c>
      <c r="I109" s="93"/>
      <c r="J109" s="94">
        <f>IF(I109&lt;&gt;"",IF(D109="男",HLOOKUP(I109,各项评分标准!$12:$14,3,1),HLOOKUP(I109,各项评分标准!$13:$14,2,1)),0)</f>
        <v>0</v>
      </c>
      <c r="K109" s="95"/>
      <c r="L109" s="94">
        <f>IF(K109&lt;&gt;"",IF(D109="男",HLOOKUP(K109,各项评分标准!$16:$18,3,1),HLOOKUP(K109,各项评分标准!$17:$18,2,1)),0)</f>
        <v>0</v>
      </c>
      <c r="M109" s="85"/>
      <c r="N109" s="94">
        <f>IF(M109&lt;&gt;"",IF(D109="男",HLOOKUP(M109,各项评分标准!$4:$6,3,1),HLOOKUP(M109,各项评分标准!$5:$6,2,1)),0)</f>
        <v>0</v>
      </c>
      <c r="O109" s="85"/>
      <c r="P109" s="94">
        <f>IF(O109&lt;&gt;"",IF(D109="男",HLOOKUP(O109,各项评分标准!$8:$10,3,1),HLOOKUP(O109,各项评分标准!$9:$10,2,1)),0)</f>
        <v>0</v>
      </c>
      <c r="Q109" s="96">
        <f t="shared" si="4"/>
        <v>0</v>
      </c>
      <c r="R109" s="97">
        <f t="shared" si="5"/>
        <v>0</v>
      </c>
      <c r="S109" s="98"/>
    </row>
    <row r="110" spans="1:19">
      <c r="A110" s="85"/>
      <c r="B110" s="85"/>
      <c r="C110" s="85"/>
      <c r="D110" s="88"/>
      <c r="E110" s="85"/>
      <c r="F110" s="90"/>
      <c r="G110" s="91"/>
      <c r="H110" s="92">
        <f t="shared" si="7"/>
        <v>0</v>
      </c>
      <c r="I110" s="93"/>
      <c r="J110" s="94">
        <f>IF(I110&lt;&gt;"",IF(D110="男",HLOOKUP(I110,各项评分标准!$12:$14,3,1),HLOOKUP(I110,各项评分标准!$13:$14,2,1)),0)</f>
        <v>0</v>
      </c>
      <c r="K110" s="95"/>
      <c r="L110" s="94">
        <f>IF(K110&lt;&gt;"",IF(D110="男",HLOOKUP(K110,各项评分标准!$16:$18,3,1),HLOOKUP(K110,各项评分标准!$17:$18,2,1)),0)</f>
        <v>0</v>
      </c>
      <c r="M110" s="85"/>
      <c r="N110" s="94">
        <f>IF(M110&lt;&gt;"",IF(D110="男",HLOOKUP(M110,各项评分标准!$4:$6,3,1),HLOOKUP(M110,各项评分标准!$5:$6,2,1)),0)</f>
        <v>0</v>
      </c>
      <c r="O110" s="85"/>
      <c r="P110" s="94">
        <f>IF(O110&lt;&gt;"",IF(D110="男",HLOOKUP(O110,各项评分标准!$8:$10,3,1),HLOOKUP(O110,各项评分标准!$9:$10,2,1)),0)</f>
        <v>0</v>
      </c>
      <c r="Q110" s="96">
        <f t="shared" si="4"/>
        <v>0</v>
      </c>
      <c r="R110" s="97">
        <f t="shared" si="5"/>
        <v>0</v>
      </c>
      <c r="S110" s="98"/>
    </row>
    <row r="111" spans="1:19">
      <c r="A111" s="85"/>
      <c r="B111" s="85"/>
      <c r="C111" s="85"/>
      <c r="D111" s="88"/>
      <c r="E111" s="85"/>
      <c r="F111" s="90"/>
      <c r="G111" s="91"/>
      <c r="H111" s="92">
        <f t="shared" si="7"/>
        <v>0</v>
      </c>
      <c r="I111" s="93"/>
      <c r="J111" s="94">
        <f>IF(I111&lt;&gt;"",IF(D111="男",HLOOKUP(I111,各项评分标准!$12:$14,3,1),HLOOKUP(I111,各项评分标准!$13:$14,2,1)),0)</f>
        <v>0</v>
      </c>
      <c r="K111" s="95"/>
      <c r="L111" s="94">
        <f>IF(K111&lt;&gt;"",IF(D111="男",HLOOKUP(K111,各项评分标准!$16:$18,3,1),HLOOKUP(K111,各项评分标准!$17:$18,2,1)),0)</f>
        <v>0</v>
      </c>
      <c r="M111" s="85"/>
      <c r="N111" s="94">
        <f>IF(M111&lt;&gt;"",IF(D111="男",HLOOKUP(M111,各项评分标准!$4:$6,3,1),HLOOKUP(M111,各项评分标准!$5:$6,2,1)),0)</f>
        <v>0</v>
      </c>
      <c r="O111" s="85"/>
      <c r="P111" s="94">
        <f>IF(O111&lt;&gt;"",IF(D111="男",HLOOKUP(O111,各项评分标准!$8:$10,3,1),HLOOKUP(O111,各项评分标准!$9:$10,2,1)),0)</f>
        <v>0</v>
      </c>
      <c r="Q111" s="96">
        <f t="shared" si="4"/>
        <v>0</v>
      </c>
      <c r="R111" s="97">
        <f t="shared" si="5"/>
        <v>0</v>
      </c>
      <c r="S111" s="98"/>
    </row>
    <row r="112" spans="1:19">
      <c r="A112" s="85"/>
      <c r="B112" s="85"/>
      <c r="C112" s="85"/>
      <c r="D112" s="88"/>
      <c r="E112" s="85"/>
      <c r="F112" s="90"/>
      <c r="G112" s="91"/>
      <c r="H112" s="92">
        <f t="shared" si="7"/>
        <v>0</v>
      </c>
      <c r="I112" s="93"/>
      <c r="J112" s="94">
        <f>IF(I112&lt;&gt;"",IF(D112="男",HLOOKUP(I112,各项评分标准!$12:$14,3,1),HLOOKUP(I112,各项评分标准!$13:$14,2,1)),0)</f>
        <v>0</v>
      </c>
      <c r="K112" s="95"/>
      <c r="L112" s="94">
        <f>IF(K112&lt;&gt;"",IF(D112="男",HLOOKUP(K112,各项评分标准!$16:$18,3,1),HLOOKUP(K112,各项评分标准!$17:$18,2,1)),0)</f>
        <v>0</v>
      </c>
      <c r="M112" s="85"/>
      <c r="N112" s="94">
        <f>IF(M112&lt;&gt;"",IF(D112="男",HLOOKUP(M112,各项评分标准!$4:$6,3,1),HLOOKUP(M112,各项评分标准!$5:$6,2,1)),0)</f>
        <v>0</v>
      </c>
      <c r="O112" s="85"/>
      <c r="P112" s="94">
        <f>IF(O112&lt;&gt;"",IF(D112="男",HLOOKUP(O112,各项评分标准!$8:$10,3,1),HLOOKUP(O112,各项评分标准!$9:$10,2,1)),0)</f>
        <v>0</v>
      </c>
      <c r="Q112" s="96">
        <f t="shared" si="4"/>
        <v>0</v>
      </c>
      <c r="R112" s="97">
        <f t="shared" si="5"/>
        <v>0</v>
      </c>
      <c r="S112" s="98"/>
    </row>
    <row r="113" spans="1:21">
      <c r="A113" s="85"/>
      <c r="B113" s="85"/>
      <c r="C113" s="85"/>
      <c r="D113" s="88"/>
      <c r="E113" s="85"/>
      <c r="F113" s="90"/>
      <c r="G113" s="91"/>
      <c r="H113" s="92">
        <f t="shared" si="7"/>
        <v>0</v>
      </c>
      <c r="I113" s="93"/>
      <c r="J113" s="94">
        <f>IF(I113&lt;&gt;"",IF(D113="男",HLOOKUP(I113,各项评分标准!$12:$14,3,1),HLOOKUP(I113,各项评分标准!$13:$14,2,1)),0)</f>
        <v>0</v>
      </c>
      <c r="K113" s="95"/>
      <c r="L113" s="94">
        <f>IF(K113&lt;&gt;"",IF(D113="男",HLOOKUP(K113,各项评分标准!$16:$18,3,1),HLOOKUP(K113,各项评分标准!$17:$18,2,1)),0)</f>
        <v>0</v>
      </c>
      <c r="M113" s="85"/>
      <c r="N113" s="94">
        <f>IF(M113&lt;&gt;"",IF(D113="男",HLOOKUP(M113,各项评分标准!$4:$6,3,1),HLOOKUP(M113,各项评分标准!$5:$6,2,1)),0)</f>
        <v>0</v>
      </c>
      <c r="O113" s="85"/>
      <c r="P113" s="94">
        <f>IF(O113&lt;&gt;"",IF(D113="男",HLOOKUP(O113,各项评分标准!$8:$10,3,1),HLOOKUP(O113,各项评分标准!$9:$10,2,1)),0)</f>
        <v>0</v>
      </c>
      <c r="Q113" s="96">
        <f t="shared" si="4"/>
        <v>0</v>
      </c>
      <c r="R113" s="97">
        <f t="shared" si="5"/>
        <v>0</v>
      </c>
      <c r="S113" s="98"/>
    </row>
    <row r="114" spans="1:21">
      <c r="A114" s="85"/>
      <c r="B114" s="85"/>
      <c r="C114" s="85"/>
      <c r="D114" s="88"/>
      <c r="E114" s="85"/>
      <c r="F114" s="90"/>
      <c r="G114" s="91"/>
      <c r="H114" s="92">
        <f t="shared" si="7"/>
        <v>0</v>
      </c>
      <c r="I114" s="93"/>
      <c r="J114" s="94">
        <f>IF(I114&lt;&gt;"",IF(D114="男",HLOOKUP(I114,各项评分标准!$12:$14,3,1),HLOOKUP(I114,各项评分标准!$13:$14,2,1)),0)</f>
        <v>0</v>
      </c>
      <c r="K114" s="95"/>
      <c r="L114" s="94">
        <f>IF(K114&lt;&gt;"",IF(D114="男",HLOOKUP(K114,各项评分标准!$16:$18,3,1),HLOOKUP(K114,各项评分标准!$17:$18,2,1)),0)</f>
        <v>0</v>
      </c>
      <c r="M114" s="85"/>
      <c r="N114" s="94">
        <f>IF(M114&lt;&gt;"",IF(D114="男",HLOOKUP(M114,各项评分标准!$4:$6,3,1),HLOOKUP(M114,各项评分标准!$5:$6,2,1)),0)</f>
        <v>0</v>
      </c>
      <c r="O114" s="85"/>
      <c r="P114" s="94">
        <f>IF(O114&lt;&gt;"",IF(D114="男",HLOOKUP(O114,各项评分标准!$8:$10,3,1),HLOOKUP(O114,各项评分标准!$9:$10,2,1)),0)</f>
        <v>0</v>
      </c>
      <c r="Q114" s="96">
        <f t="shared" si="4"/>
        <v>0</v>
      </c>
      <c r="R114" s="97">
        <f t="shared" si="5"/>
        <v>0</v>
      </c>
      <c r="S114" s="98"/>
    </row>
    <row r="115" spans="1:21">
      <c r="A115" s="85"/>
      <c r="B115" s="85"/>
      <c r="C115" s="85"/>
      <c r="D115" s="88"/>
      <c r="E115" s="85"/>
      <c r="F115" s="90"/>
      <c r="G115" s="91"/>
      <c r="H115" s="92">
        <f t="shared" si="7"/>
        <v>0</v>
      </c>
      <c r="I115" s="93"/>
      <c r="J115" s="94">
        <f>IF(I115&lt;&gt;"",IF(D115="男",HLOOKUP(I115,各项评分标准!$12:$14,3,1),HLOOKUP(I115,各项评分标准!$13:$14,2,1)),0)</f>
        <v>0</v>
      </c>
      <c r="K115" s="95"/>
      <c r="L115" s="94">
        <f>IF(K115&lt;&gt;"",IF(D115="男",HLOOKUP(K115,各项评分标准!$16:$18,3,1),HLOOKUP(K115,各项评分标准!$17:$18,2,1)),0)</f>
        <v>0</v>
      </c>
      <c r="M115" s="85"/>
      <c r="N115" s="94">
        <f>IF(M115&lt;&gt;"",IF(D115="男",HLOOKUP(M115,各项评分标准!$4:$6,3,1),HLOOKUP(M115,各项评分标准!$5:$6,2,1)),0)</f>
        <v>0</v>
      </c>
      <c r="O115" s="85"/>
      <c r="P115" s="94">
        <f>IF(O115&lt;&gt;"",IF(D115="男",HLOOKUP(O115,各项评分标准!$8:$10,3,1),HLOOKUP(O115,各项评分标准!$9:$10,2,1)),0)</f>
        <v>0</v>
      </c>
      <c r="Q115" s="96">
        <f t="shared" si="4"/>
        <v>0</v>
      </c>
      <c r="R115" s="97">
        <f t="shared" si="5"/>
        <v>0</v>
      </c>
      <c r="S115" s="98"/>
    </row>
    <row r="116" spans="1:21">
      <c r="A116" s="85"/>
      <c r="B116" s="85"/>
      <c r="C116" s="85"/>
      <c r="D116" s="88"/>
      <c r="E116" s="85"/>
      <c r="F116" s="90"/>
      <c r="G116" s="91"/>
      <c r="H116" s="92">
        <f t="shared" si="7"/>
        <v>0</v>
      </c>
      <c r="I116" s="93"/>
      <c r="J116" s="94">
        <f>IF(I116&lt;&gt;"",IF(D116="男",HLOOKUP(I116,各项评分标准!$12:$14,3,1),HLOOKUP(I116,各项评分标准!$13:$14,2,1)),0)</f>
        <v>0</v>
      </c>
      <c r="K116" s="95"/>
      <c r="L116" s="94">
        <f>IF(K116&lt;&gt;"",IF(D116="男",HLOOKUP(K116,各项评分标准!$16:$18,3,1),HLOOKUP(K116,各项评分标准!$17:$18,2,1)),0)</f>
        <v>0</v>
      </c>
      <c r="M116" s="85"/>
      <c r="N116" s="94">
        <f>IF(M116&lt;&gt;"",IF(D116="男",HLOOKUP(M116,各项评分标准!$4:$6,3,1),HLOOKUP(M116,各项评分标准!$5:$6,2,1)),0)</f>
        <v>0</v>
      </c>
      <c r="O116" s="85"/>
      <c r="P116" s="94">
        <f>IF(O116&lt;&gt;"",IF(D116="男",HLOOKUP(O116,各项评分标准!$8:$10,3,1),HLOOKUP(O116,各项评分标准!$9:$10,2,1)),0)</f>
        <v>0</v>
      </c>
      <c r="Q116" s="96">
        <f t="shared" si="4"/>
        <v>0</v>
      </c>
      <c r="R116" s="97">
        <f t="shared" si="5"/>
        <v>0</v>
      </c>
      <c r="S116" s="98"/>
    </row>
    <row r="117" s="61" customFormat="1" spans="1:21">
      <c r="A117" s="85"/>
      <c r="B117" s="85"/>
      <c r="C117" s="85"/>
      <c r="D117" s="88"/>
      <c r="E117" s="85"/>
      <c r="F117" s="90"/>
      <c r="G117" s="91"/>
      <c r="H117" s="92">
        <f t="shared" si="7"/>
        <v>0</v>
      </c>
      <c r="I117" s="93"/>
      <c r="J117" s="94">
        <f>IF(I117&lt;&gt;"",IF(D117="男",HLOOKUP(I117,各项评分标准!$12:$14,3,1),HLOOKUP(I117,各项评分标准!$13:$14,2,1)),0)</f>
        <v>0</v>
      </c>
      <c r="K117" s="95"/>
      <c r="L117" s="94">
        <f>IF(K117&lt;&gt;"",IF(D117="男",HLOOKUP(K117,各项评分标准!$16:$18,3,1),HLOOKUP(K117,各项评分标准!$17:$18,2,1)),0)</f>
        <v>0</v>
      </c>
      <c r="M117" s="85"/>
      <c r="N117" s="94">
        <f>IF(M117&lt;&gt;"",IF(D117="男",HLOOKUP(M117,各项评分标准!$4:$6,3,1),HLOOKUP(M117,各项评分标准!$5:$6,2,1)),0)</f>
        <v>0</v>
      </c>
      <c r="O117" s="85"/>
      <c r="P117" s="94">
        <f>IF(O117&lt;&gt;"",IF(D117="男",HLOOKUP(O117,各项评分标准!$8:$10,3,1),HLOOKUP(O117,各项评分标准!$9:$10,2,1)),0)</f>
        <v>0</v>
      </c>
      <c r="Q117" s="96">
        <f t="shared" si="4"/>
        <v>0</v>
      </c>
      <c r="R117" s="97">
        <f t="shared" si="5"/>
        <v>0</v>
      </c>
      <c r="S117" s="98"/>
      <c r="T117" s="102"/>
      <c r="U117" s="102"/>
    </row>
    <row r="118" spans="1:21">
      <c r="A118" s="85"/>
      <c r="B118" s="85"/>
      <c r="C118" s="85"/>
      <c r="D118" s="88"/>
      <c r="E118" s="85"/>
      <c r="F118" s="90"/>
      <c r="G118" s="91"/>
      <c r="H118" s="92">
        <f t="shared" si="7"/>
        <v>0</v>
      </c>
      <c r="I118" s="93"/>
      <c r="J118" s="94">
        <f>IF(I118&lt;&gt;"",IF(D118="男",HLOOKUP(I118,各项评分标准!$12:$14,3,1),HLOOKUP(I118,各项评分标准!$13:$14,2,1)),0)</f>
        <v>0</v>
      </c>
      <c r="K118" s="95"/>
      <c r="L118" s="94">
        <f>IF(K118&lt;&gt;"",IF(D118="男",HLOOKUP(K118,各项评分标准!$16:$18,3,1),HLOOKUP(K118,各项评分标准!$17:$18,2,1)),0)</f>
        <v>0</v>
      </c>
      <c r="M118" s="85"/>
      <c r="N118" s="94">
        <f>IF(M118&lt;&gt;"",IF(D118="男",HLOOKUP(M118,各项评分标准!$4:$6,3,1),HLOOKUP(M118,各项评分标准!$5:$6,2,1)),0)</f>
        <v>0</v>
      </c>
      <c r="O118" s="85"/>
      <c r="P118" s="94">
        <f>IF(O118&lt;&gt;"",IF(D118="男",HLOOKUP(O118,各项评分标准!$8:$10,3,1),HLOOKUP(O118,各项评分标准!$9:$10,2,1)),0)</f>
        <v>0</v>
      </c>
      <c r="Q118" s="96">
        <f t="shared" si="4"/>
        <v>0</v>
      </c>
      <c r="R118" s="97">
        <f t="shared" si="5"/>
        <v>0</v>
      </c>
      <c r="S118" s="98"/>
    </row>
    <row r="119" spans="1:21">
      <c r="A119" s="85"/>
      <c r="B119" s="85"/>
      <c r="C119" s="85"/>
      <c r="D119" s="88"/>
      <c r="E119" s="85"/>
      <c r="F119" s="90"/>
      <c r="G119" s="91"/>
      <c r="H119" s="92">
        <f t="shared" si="7"/>
        <v>0</v>
      </c>
      <c r="I119" s="93"/>
      <c r="J119" s="94">
        <f>IF(I119&lt;&gt;"",IF(D119="男",HLOOKUP(I119,各项评分标准!$12:$14,3,1),HLOOKUP(I119,各项评分标准!$13:$14,2,1)),0)</f>
        <v>0</v>
      </c>
      <c r="K119" s="95"/>
      <c r="L119" s="94">
        <f>IF(K119&lt;&gt;"",IF(D119="男",HLOOKUP(K119,各项评分标准!$16:$18,3,1),HLOOKUP(K119,各项评分标准!$17:$18,2,1)),0)</f>
        <v>0</v>
      </c>
      <c r="M119" s="85"/>
      <c r="N119" s="94">
        <f>IF(M119&lt;&gt;"",IF(D119="男",HLOOKUP(M119,各项评分标准!$4:$6,3,1),HLOOKUP(M119,各项评分标准!$5:$6,2,1)),0)</f>
        <v>0</v>
      </c>
      <c r="O119" s="85"/>
      <c r="P119" s="94">
        <f>IF(O119&lt;&gt;"",IF(D119="男",HLOOKUP(O119,各项评分标准!$8:$10,3,1),HLOOKUP(O119,各项评分标准!$9:$10,2,1)),0)</f>
        <v>0</v>
      </c>
      <c r="Q119" s="96">
        <f t="shared" si="4"/>
        <v>0</v>
      </c>
      <c r="R119" s="97">
        <f t="shared" si="5"/>
        <v>0</v>
      </c>
      <c r="S119" s="98"/>
    </row>
    <row r="120" spans="1:21">
      <c r="A120" s="85"/>
      <c r="B120" s="85"/>
      <c r="C120" s="85"/>
      <c r="D120" s="88"/>
      <c r="E120" s="85"/>
      <c r="F120" s="90"/>
      <c r="G120" s="91"/>
      <c r="H120" s="92">
        <f t="shared" si="7"/>
        <v>0</v>
      </c>
      <c r="I120" s="93"/>
      <c r="J120" s="94">
        <f>IF(I120&lt;&gt;"",IF(D120="男",HLOOKUP(I120,各项评分标准!$12:$14,3,1),HLOOKUP(I120,各项评分标准!$13:$14,2,1)),0)</f>
        <v>0</v>
      </c>
      <c r="K120" s="95"/>
      <c r="L120" s="94">
        <f>IF(K120&lt;&gt;"",IF(D120="男",HLOOKUP(K120,各项评分标准!$16:$18,3,1),HLOOKUP(K120,各项评分标准!$17:$18,2,1)),0)</f>
        <v>0</v>
      </c>
      <c r="M120" s="85"/>
      <c r="N120" s="94">
        <f>IF(M120&lt;&gt;"",IF(D120="男",HLOOKUP(M120,各项评分标准!$4:$6,3,1),HLOOKUP(M120,各项评分标准!$5:$6,2,1)),0)</f>
        <v>0</v>
      </c>
      <c r="O120" s="85"/>
      <c r="P120" s="94">
        <f>IF(O120&lt;&gt;"",IF(D120="男",HLOOKUP(O120,各项评分标准!$8:$10,3,1),HLOOKUP(O120,各项评分标准!$9:$10,2,1)),0)</f>
        <v>0</v>
      </c>
      <c r="Q120" s="96">
        <f t="shared" si="4"/>
        <v>0</v>
      </c>
      <c r="R120" s="97">
        <f t="shared" si="5"/>
        <v>0</v>
      </c>
      <c r="S120" s="98"/>
    </row>
    <row r="121" spans="1:21">
      <c r="A121" s="85"/>
      <c r="B121" s="85"/>
      <c r="C121" s="85"/>
      <c r="D121" s="88"/>
      <c r="E121" s="85"/>
      <c r="F121" s="90"/>
      <c r="G121" s="91"/>
      <c r="H121" s="92">
        <f t="shared" si="7"/>
        <v>0</v>
      </c>
      <c r="I121" s="93"/>
      <c r="J121" s="94">
        <f>IF(I121&lt;&gt;"",IF(D121="男",HLOOKUP(I121,各项评分标准!$12:$14,3,1),HLOOKUP(I121,各项评分标准!$13:$14,2,1)),0)</f>
        <v>0</v>
      </c>
      <c r="K121" s="95"/>
      <c r="L121" s="94">
        <f>IF(K121&lt;&gt;"",IF(D121="男",HLOOKUP(K121,各项评分标准!$16:$18,3,1),HLOOKUP(K121,各项评分标准!$17:$18,2,1)),0)</f>
        <v>0</v>
      </c>
      <c r="M121" s="85"/>
      <c r="N121" s="94">
        <f>IF(M121&lt;&gt;"",IF(D121="男",HLOOKUP(M121,各项评分标准!$4:$6,3,1),HLOOKUP(M121,各项评分标准!$5:$6,2,1)),0)</f>
        <v>0</v>
      </c>
      <c r="O121" s="85"/>
      <c r="P121" s="94">
        <f>IF(O121&lt;&gt;"",IF(D121="男",HLOOKUP(O121,各项评分标准!$8:$10,3,1),HLOOKUP(O121,各项评分标准!$9:$10,2,1)),0)</f>
        <v>0</v>
      </c>
      <c r="Q121" s="96">
        <f t="shared" si="4"/>
        <v>0</v>
      </c>
      <c r="R121" s="97">
        <f t="shared" si="5"/>
        <v>0</v>
      </c>
      <c r="S121" s="98"/>
    </row>
    <row r="122" spans="1:21">
      <c r="A122" s="85"/>
      <c r="B122" s="85"/>
      <c r="C122" s="85"/>
      <c r="D122" s="88"/>
      <c r="E122" s="85"/>
      <c r="F122" s="90"/>
      <c r="G122" s="91"/>
      <c r="H122" s="92">
        <f t="shared" si="7"/>
        <v>0</v>
      </c>
      <c r="I122" s="93"/>
      <c r="J122" s="94">
        <f>IF(I122&lt;&gt;"",IF(D122="男",HLOOKUP(I122,各项评分标准!$12:$14,3,1),HLOOKUP(I122,各项评分标准!$13:$14,2,1)),0)</f>
        <v>0</v>
      </c>
      <c r="K122" s="95"/>
      <c r="L122" s="94">
        <f>IF(K122&lt;&gt;"",IF(D122="男",HLOOKUP(K122,各项评分标准!$16:$18,3,1),HLOOKUP(K122,各项评分标准!$17:$18,2,1)),0)</f>
        <v>0</v>
      </c>
      <c r="M122" s="85"/>
      <c r="N122" s="94">
        <f>IF(M122&lt;&gt;"",IF(D122="男",HLOOKUP(M122,各项评分标准!$4:$6,3,1),HLOOKUP(M122,各项评分标准!$5:$6,2,1)),0)</f>
        <v>0</v>
      </c>
      <c r="O122" s="85"/>
      <c r="P122" s="94">
        <f>IF(O122&lt;&gt;"",IF(D122="男",HLOOKUP(O122,各项评分标准!$8:$10,3,1),HLOOKUP(O122,各项评分标准!$9:$10,2,1)),0)</f>
        <v>0</v>
      </c>
      <c r="Q122" s="96">
        <f t="shared" si="4"/>
        <v>0</v>
      </c>
      <c r="R122" s="97">
        <f t="shared" si="5"/>
        <v>0</v>
      </c>
      <c r="S122" s="98"/>
    </row>
    <row r="123" spans="1:21">
      <c r="A123" s="85"/>
      <c r="B123" s="85"/>
      <c r="C123" s="85"/>
      <c r="D123" s="88"/>
      <c r="E123" s="85"/>
      <c r="F123" s="90"/>
      <c r="G123" s="91"/>
      <c r="H123" s="92">
        <f t="shared" si="7"/>
        <v>0</v>
      </c>
      <c r="I123" s="93"/>
      <c r="J123" s="94">
        <f>IF(I123&lt;&gt;"",IF(D123="男",HLOOKUP(I123,各项评分标准!$12:$14,3,1),HLOOKUP(I123,各项评分标准!$13:$14,2,1)),0)</f>
        <v>0</v>
      </c>
      <c r="K123" s="95"/>
      <c r="L123" s="94">
        <f>IF(K123&lt;&gt;"",IF(D123="男",HLOOKUP(K123,各项评分标准!$16:$18,3,1),HLOOKUP(K123,各项评分标准!$17:$18,2,1)),0)</f>
        <v>0</v>
      </c>
      <c r="M123" s="85"/>
      <c r="N123" s="94">
        <f>IF(M123&lt;&gt;"",IF(D123="男",HLOOKUP(M123,各项评分标准!$4:$6,3,1),HLOOKUP(M123,各项评分标准!$5:$6,2,1)),0)</f>
        <v>0</v>
      </c>
      <c r="O123" s="85"/>
      <c r="P123" s="94">
        <f>IF(O123&lt;&gt;"",IF(D123="男",HLOOKUP(O123,各项评分标准!$8:$10,3,1),HLOOKUP(O123,各项评分标准!$9:$10,2,1)),0)</f>
        <v>0</v>
      </c>
      <c r="Q123" s="96">
        <f t="shared" si="4"/>
        <v>0</v>
      </c>
      <c r="R123" s="97">
        <f t="shared" si="5"/>
        <v>0</v>
      </c>
      <c r="S123" s="98"/>
    </row>
    <row r="124" spans="1:21">
      <c r="A124" s="85"/>
      <c r="B124" s="85"/>
      <c r="C124" s="85"/>
      <c r="D124" s="88"/>
      <c r="E124" s="85"/>
      <c r="F124" s="90"/>
      <c r="G124" s="91"/>
      <c r="H124" s="92">
        <f t="shared" si="7"/>
        <v>0</v>
      </c>
      <c r="I124" s="93"/>
      <c r="J124" s="94">
        <f>IF(I124&lt;&gt;"",IF(D124="男",HLOOKUP(I124,各项评分标准!$12:$14,3,1),HLOOKUP(I124,各项评分标准!$13:$14,2,1)),0)</f>
        <v>0</v>
      </c>
      <c r="K124" s="95"/>
      <c r="L124" s="94">
        <f>IF(K124&lt;&gt;"",IF(D124="男",HLOOKUP(K124,各项评分标准!$16:$18,3,1),HLOOKUP(K124,各项评分标准!$17:$18,2,1)),0)</f>
        <v>0</v>
      </c>
      <c r="M124" s="85"/>
      <c r="N124" s="94">
        <f>IF(M124&lt;&gt;"",IF(D124="男",HLOOKUP(M124,各项评分标准!$4:$6,3,1),HLOOKUP(M124,各项评分标准!$5:$6,2,1)),0)</f>
        <v>0</v>
      </c>
      <c r="O124" s="85"/>
      <c r="P124" s="94">
        <f>IF(O124&lt;&gt;"",IF(D124="男",HLOOKUP(O124,各项评分标准!$8:$10,3,1),HLOOKUP(O124,各项评分标准!$9:$10,2,1)),0)</f>
        <v>0</v>
      </c>
      <c r="Q124" s="96">
        <f t="shared" si="4"/>
        <v>0</v>
      </c>
      <c r="R124" s="97">
        <f t="shared" si="5"/>
        <v>0</v>
      </c>
      <c r="S124" s="98"/>
    </row>
    <row r="125" spans="1:21">
      <c r="A125" s="85"/>
      <c r="B125" s="85"/>
      <c r="C125" s="85"/>
      <c r="D125" s="88"/>
      <c r="E125" s="85"/>
      <c r="F125" s="90"/>
      <c r="G125" s="91"/>
      <c r="H125" s="92">
        <f t="shared" si="7"/>
        <v>0</v>
      </c>
      <c r="I125" s="93"/>
      <c r="J125" s="94">
        <f>IF(I125&lt;&gt;"",IF(D125="男",HLOOKUP(I125,各项评分标准!$12:$14,3,1),HLOOKUP(I125,各项评分标准!$13:$14,2,1)),0)</f>
        <v>0</v>
      </c>
      <c r="K125" s="95"/>
      <c r="L125" s="94">
        <f>IF(K125&lt;&gt;"",IF(D125="男",HLOOKUP(K125,各项评分标准!$16:$18,3,1),HLOOKUP(K125,各项评分标准!$17:$18,2,1)),0)</f>
        <v>0</v>
      </c>
      <c r="M125" s="85"/>
      <c r="N125" s="94">
        <f>IF(M125&lt;&gt;"",IF(D125="男",HLOOKUP(M125,各项评分标准!$4:$6,3,1),HLOOKUP(M125,各项评分标准!$5:$6,2,1)),0)</f>
        <v>0</v>
      </c>
      <c r="O125" s="85"/>
      <c r="P125" s="94">
        <f>IF(O125&lt;&gt;"",IF(D125="男",HLOOKUP(O125,各项评分标准!$8:$10,3,1),HLOOKUP(O125,各项评分标准!$9:$10,2,1)),0)</f>
        <v>0</v>
      </c>
      <c r="Q125" s="96">
        <f t="shared" si="4"/>
        <v>0</v>
      </c>
      <c r="R125" s="97">
        <f t="shared" si="5"/>
        <v>0</v>
      </c>
      <c r="S125" s="98"/>
    </row>
    <row r="126" spans="1:21">
      <c r="A126" s="85"/>
      <c r="B126" s="85"/>
      <c r="C126" s="85"/>
      <c r="D126" s="88"/>
      <c r="E126" s="85"/>
      <c r="F126" s="90"/>
      <c r="G126" s="91"/>
      <c r="H126" s="92">
        <f t="shared" si="7"/>
        <v>0</v>
      </c>
      <c r="I126" s="93"/>
      <c r="J126" s="94">
        <f>IF(I126&lt;&gt;"",IF(D126="男",HLOOKUP(I126,各项评分标准!$12:$14,3,1),HLOOKUP(I126,各项评分标准!$13:$14,2,1)),0)</f>
        <v>0</v>
      </c>
      <c r="K126" s="95"/>
      <c r="L126" s="94">
        <f>IF(K126&lt;&gt;"",IF(D126="男",HLOOKUP(K126,各项评分标准!$16:$18,3,1),HLOOKUP(K126,各项评分标准!$17:$18,2,1)),0)</f>
        <v>0</v>
      </c>
      <c r="M126" s="85"/>
      <c r="N126" s="94">
        <f>IF(M126&lt;&gt;"",IF(D126="男",HLOOKUP(M126,各项评分标准!$4:$6,3,1),HLOOKUP(M126,各项评分标准!$5:$6,2,1)),0)</f>
        <v>0</v>
      </c>
      <c r="O126" s="85"/>
      <c r="P126" s="94">
        <f>IF(O126&lt;&gt;"",IF(D126="男",HLOOKUP(O126,各项评分标准!$8:$10,3,1),HLOOKUP(O126,各项评分标准!$9:$10,2,1)),0)</f>
        <v>0</v>
      </c>
      <c r="Q126" s="96">
        <f t="shared" si="4"/>
        <v>0</v>
      </c>
      <c r="R126" s="97">
        <f t="shared" si="5"/>
        <v>0</v>
      </c>
      <c r="S126" s="98"/>
    </row>
    <row r="127" spans="1:21">
      <c r="A127" s="85"/>
      <c r="B127" s="85"/>
      <c r="C127" s="85"/>
      <c r="D127" s="88"/>
      <c r="E127" s="85"/>
      <c r="F127" s="90"/>
      <c r="G127" s="91"/>
      <c r="H127" s="92">
        <f t="shared" si="7"/>
        <v>0</v>
      </c>
      <c r="I127" s="93"/>
      <c r="J127" s="94">
        <f>IF(I127&lt;&gt;"",IF(D127="男",HLOOKUP(I127,各项评分标准!$12:$14,3,1),HLOOKUP(I127,各项评分标准!$13:$14,2,1)),0)</f>
        <v>0</v>
      </c>
      <c r="K127" s="95"/>
      <c r="L127" s="94">
        <f>IF(K127&lt;&gt;"",IF(D127="男",HLOOKUP(K127,各项评分标准!$16:$18,3,1),HLOOKUP(K127,各项评分标准!$17:$18,2,1)),0)</f>
        <v>0</v>
      </c>
      <c r="M127" s="85"/>
      <c r="N127" s="94">
        <f>IF(M127&lt;&gt;"",IF(D127="男",HLOOKUP(M127,各项评分标准!$4:$6,3,1),HLOOKUP(M127,各项评分标准!$5:$6,2,1)),0)</f>
        <v>0</v>
      </c>
      <c r="O127" s="85"/>
      <c r="P127" s="94">
        <f>IF(O127&lt;&gt;"",IF(D127="男",HLOOKUP(O127,各项评分标准!$8:$10,3,1),HLOOKUP(O127,各项评分标准!$9:$10,2,1)),0)</f>
        <v>0</v>
      </c>
      <c r="Q127" s="96">
        <f t="shared" si="4"/>
        <v>0</v>
      </c>
      <c r="R127" s="97">
        <f t="shared" si="5"/>
        <v>0</v>
      </c>
      <c r="S127" s="98"/>
    </row>
    <row r="128" spans="1:21">
      <c r="A128" s="85"/>
      <c r="B128" s="85"/>
      <c r="C128" s="85"/>
      <c r="D128" s="88"/>
      <c r="E128" s="85"/>
      <c r="F128" s="90"/>
      <c r="G128" s="91"/>
      <c r="H128" s="92">
        <f t="shared" si="7"/>
        <v>0</v>
      </c>
      <c r="I128" s="93"/>
      <c r="J128" s="94">
        <f>IF(I128&lt;&gt;"",IF(D128="男",HLOOKUP(I128,各项评分标准!$12:$14,3,1),HLOOKUP(I128,各项评分标准!$13:$14,2,1)),0)</f>
        <v>0</v>
      </c>
      <c r="K128" s="95"/>
      <c r="L128" s="94">
        <f>IF(K128&lt;&gt;"",IF(D128="男",HLOOKUP(K128,各项评分标准!$16:$18,3,1),HLOOKUP(K128,各项评分标准!$17:$18,2,1)),0)</f>
        <v>0</v>
      </c>
      <c r="M128" s="85"/>
      <c r="N128" s="94">
        <f>IF(M128&lt;&gt;"",IF(D128="男",HLOOKUP(M128,各项评分标准!$4:$6,3,1),HLOOKUP(M128,各项评分标准!$5:$6,2,1)),0)</f>
        <v>0</v>
      </c>
      <c r="O128" s="85"/>
      <c r="P128" s="94">
        <f>IF(O128&lt;&gt;"",IF(D128="男",HLOOKUP(O128,各项评分标准!$8:$10,3,1),HLOOKUP(O128,各项评分标准!$9:$10,2,1)),0)</f>
        <v>0</v>
      </c>
      <c r="Q128" s="96">
        <f t="shared" si="4"/>
        <v>0</v>
      </c>
      <c r="R128" s="97">
        <f t="shared" si="5"/>
        <v>0</v>
      </c>
      <c r="S128" s="98"/>
    </row>
    <row r="129" spans="1:19">
      <c r="A129" s="85"/>
      <c r="B129" s="85"/>
      <c r="C129" s="85"/>
      <c r="D129" s="88"/>
      <c r="E129" s="85"/>
      <c r="F129" s="90"/>
      <c r="G129" s="91"/>
      <c r="H129" s="92">
        <f t="shared" si="7"/>
        <v>0</v>
      </c>
      <c r="I129" s="93"/>
      <c r="J129" s="94">
        <f>IF(I129&lt;&gt;"",IF(D129="男",HLOOKUP(I129,各项评分标准!$12:$14,3,1),HLOOKUP(I129,各项评分标准!$13:$14,2,1)),0)</f>
        <v>0</v>
      </c>
      <c r="K129" s="95"/>
      <c r="L129" s="94">
        <f>IF(K129&lt;&gt;"",IF(D129="男",HLOOKUP(K129,各项评分标准!$16:$18,3,1),HLOOKUP(K129,各项评分标准!$17:$18,2,1)),0)</f>
        <v>0</v>
      </c>
      <c r="M129" s="85"/>
      <c r="N129" s="94">
        <f>IF(M129&lt;&gt;"",IF(D129="男",HLOOKUP(M129,各项评分标准!$4:$6,3,1),HLOOKUP(M129,各项评分标准!$5:$6,2,1)),0)</f>
        <v>0</v>
      </c>
      <c r="O129" s="85"/>
      <c r="P129" s="94">
        <f>IF(O129&lt;&gt;"",IF(D129="男",HLOOKUP(O129,各项评分标准!$8:$10,3,1),HLOOKUP(O129,各项评分标准!$9:$10,2,1)),0)</f>
        <v>0</v>
      </c>
      <c r="Q129" s="96">
        <f t="shared" si="4"/>
        <v>0</v>
      </c>
      <c r="R129" s="97">
        <f t="shared" si="5"/>
        <v>0</v>
      </c>
      <c r="S129" s="98"/>
    </row>
    <row r="130" spans="1:19">
      <c r="A130" s="85"/>
      <c r="B130" s="85"/>
      <c r="C130" s="85"/>
      <c r="D130" s="88"/>
      <c r="E130" s="85"/>
      <c r="F130" s="90"/>
      <c r="G130" s="91"/>
      <c r="H130" s="92">
        <f t="shared" si="7"/>
        <v>0</v>
      </c>
      <c r="I130" s="93"/>
      <c r="J130" s="94">
        <f>IF(I130&lt;&gt;"",IF(D130="男",HLOOKUP(I130,各项评分标准!$12:$14,3,1),HLOOKUP(I130,各项评分标准!$13:$14,2,1)),0)</f>
        <v>0</v>
      </c>
      <c r="K130" s="95"/>
      <c r="L130" s="94">
        <f>IF(K130&lt;&gt;"",IF(D130="男",HLOOKUP(K130,各项评分标准!$16:$18,3,1),HLOOKUP(K130,各项评分标准!$17:$18,2,1)),0)</f>
        <v>0</v>
      </c>
      <c r="M130" s="85"/>
      <c r="N130" s="94">
        <f>IF(M130&lt;&gt;"",IF(D130="男",HLOOKUP(M130,各项评分标准!$4:$6,3,1),HLOOKUP(M130,各项评分标准!$5:$6,2,1)),0)</f>
        <v>0</v>
      </c>
      <c r="O130" s="85"/>
      <c r="P130" s="94">
        <f>IF(O130&lt;&gt;"",IF(D130="男",HLOOKUP(O130,各项评分标准!$8:$10,3,1),HLOOKUP(O130,各项评分标准!$9:$10,2,1)),0)</f>
        <v>0</v>
      </c>
      <c r="Q130" s="96">
        <f t="shared" si="4"/>
        <v>0</v>
      </c>
      <c r="R130" s="97">
        <f t="shared" si="5"/>
        <v>0</v>
      </c>
      <c r="S130" s="98"/>
    </row>
    <row r="131" spans="1:19">
      <c r="A131" s="85"/>
      <c r="B131" s="85"/>
      <c r="C131" s="85"/>
      <c r="D131" s="88"/>
      <c r="E131" s="85"/>
      <c r="F131" s="90"/>
      <c r="G131" s="91"/>
      <c r="H131" s="92">
        <f t="shared" si="7"/>
        <v>0</v>
      </c>
      <c r="I131" s="93"/>
      <c r="J131" s="94">
        <f>IF(I131&lt;&gt;"",IF(D131="男",HLOOKUP(I131,各项评分标准!$12:$14,3,1),HLOOKUP(I131,各项评分标准!$13:$14,2,1)),0)</f>
        <v>0</v>
      </c>
      <c r="K131" s="95"/>
      <c r="L131" s="94">
        <f>IF(K131&lt;&gt;"",IF(D131="男",HLOOKUP(K131,各项评分标准!$16:$18,3,1),HLOOKUP(K131,各项评分标准!$17:$18,2,1)),0)</f>
        <v>0</v>
      </c>
      <c r="M131" s="85"/>
      <c r="N131" s="94">
        <f>IF(M131&lt;&gt;"",IF(D131="男",HLOOKUP(M131,各项评分标准!$4:$6,3,1),HLOOKUP(M131,各项评分标准!$5:$6,2,1)),0)</f>
        <v>0</v>
      </c>
      <c r="O131" s="85"/>
      <c r="P131" s="94">
        <f>IF(O131&lt;&gt;"",IF(D131="男",HLOOKUP(O131,各项评分标准!$8:$10,3,1),HLOOKUP(O131,各项评分标准!$9:$10,2,1)),0)</f>
        <v>0</v>
      </c>
      <c r="Q131" s="96">
        <f t="shared" si="4"/>
        <v>0</v>
      </c>
      <c r="R131" s="97">
        <f t="shared" si="5"/>
        <v>0</v>
      </c>
      <c r="S131" s="98"/>
    </row>
    <row r="132" spans="1:19">
      <c r="A132" s="85"/>
      <c r="B132" s="85"/>
      <c r="C132" s="85"/>
      <c r="D132" s="88"/>
      <c r="E132" s="85"/>
      <c r="F132" s="90"/>
      <c r="G132" s="91"/>
      <c r="H132" s="92">
        <f t="shared" si="7"/>
        <v>0</v>
      </c>
      <c r="I132" s="93"/>
      <c r="J132" s="94">
        <f>IF(I132&lt;&gt;"",IF(D132="男",HLOOKUP(I132,各项评分标准!$12:$14,3,1),HLOOKUP(I132,各项评分标准!$13:$14,2,1)),0)</f>
        <v>0</v>
      </c>
      <c r="K132" s="95"/>
      <c r="L132" s="94">
        <f>IF(K132&lt;&gt;"",IF(D132="男",HLOOKUP(K132,各项评分标准!$16:$18,3,1),HLOOKUP(K132,各项评分标准!$17:$18,2,1)),0)</f>
        <v>0</v>
      </c>
      <c r="M132" s="85"/>
      <c r="N132" s="94">
        <f>IF(M132&lt;&gt;"",IF(D132="男",HLOOKUP(M132,各项评分标准!$4:$6,3,1),HLOOKUP(M132,各项评分标准!$5:$6,2,1)),0)</f>
        <v>0</v>
      </c>
      <c r="O132" s="85"/>
      <c r="P132" s="94">
        <f>IF(O132&lt;&gt;"",IF(D132="男",HLOOKUP(O132,各项评分标准!$8:$10,3,1),HLOOKUP(O132,各项评分标准!$9:$10,2,1)),0)</f>
        <v>0</v>
      </c>
      <c r="Q132" s="96">
        <f t="shared" si="4"/>
        <v>0</v>
      </c>
      <c r="R132" s="97">
        <f t="shared" si="5"/>
        <v>0</v>
      </c>
      <c r="S132" s="98"/>
    </row>
    <row r="133" spans="1:19">
      <c r="A133" s="85"/>
      <c r="B133" s="85"/>
      <c r="C133" s="85"/>
      <c r="D133" s="88"/>
      <c r="E133" s="85"/>
      <c r="F133" s="90"/>
      <c r="G133" s="91"/>
      <c r="H133" s="92">
        <f t="shared" si="7"/>
        <v>0</v>
      </c>
      <c r="I133" s="93"/>
      <c r="J133" s="94">
        <f>IF(I133&lt;&gt;"",IF(D133="男",HLOOKUP(I133,各项评分标准!$12:$14,3,1),HLOOKUP(I133,各项评分标准!$13:$14,2,1)),0)</f>
        <v>0</v>
      </c>
      <c r="K133" s="95"/>
      <c r="L133" s="94">
        <f>IF(K133&lt;&gt;"",IF(D133="男",HLOOKUP(K133,各项评分标准!$16:$18,3,1),HLOOKUP(K133,各项评分标准!$17:$18,2,1)),0)</f>
        <v>0</v>
      </c>
      <c r="M133" s="85"/>
      <c r="N133" s="94">
        <f>IF(M133&lt;&gt;"",IF(D133="男",HLOOKUP(M133,各项评分标准!$4:$6,3,1),HLOOKUP(M133,各项评分标准!$5:$6,2,1)),0)</f>
        <v>0</v>
      </c>
      <c r="O133" s="85"/>
      <c r="P133" s="94">
        <f>IF(O133&lt;&gt;"",IF(D133="男",HLOOKUP(O133,各项评分标准!$8:$10,3,1),HLOOKUP(O133,各项评分标准!$9:$10,2,1)),0)</f>
        <v>0</v>
      </c>
      <c r="Q133" s="96">
        <f t="shared" si="4"/>
        <v>0</v>
      </c>
      <c r="R133" s="97">
        <f t="shared" si="5"/>
        <v>0</v>
      </c>
      <c r="S133" s="98"/>
    </row>
    <row r="134" spans="1:19">
      <c r="A134" s="85"/>
      <c r="B134" s="85"/>
      <c r="C134" s="85"/>
      <c r="D134" s="88"/>
      <c r="E134" s="85"/>
      <c r="F134" s="90"/>
      <c r="G134" s="91"/>
      <c r="H134" s="92">
        <f t="shared" si="7"/>
        <v>0</v>
      </c>
      <c r="I134" s="93"/>
      <c r="J134" s="94">
        <f>IF(I134&lt;&gt;"",IF(D134="男",HLOOKUP(I134,各项评分标准!$12:$14,3,1),HLOOKUP(I134,各项评分标准!$13:$14,2,1)),0)</f>
        <v>0</v>
      </c>
      <c r="K134" s="95"/>
      <c r="L134" s="94">
        <f>IF(K134&lt;&gt;"",IF(D134="男",HLOOKUP(K134,各项评分标准!$16:$18,3,1),HLOOKUP(K134,各项评分标准!$17:$18,2,1)),0)</f>
        <v>0</v>
      </c>
      <c r="M134" s="85"/>
      <c r="N134" s="94">
        <f>IF(M134&lt;&gt;"",IF(D134="男",HLOOKUP(M134,各项评分标准!$4:$6,3,1),HLOOKUP(M134,各项评分标准!$5:$6,2,1)),0)</f>
        <v>0</v>
      </c>
      <c r="O134" s="85"/>
      <c r="P134" s="94">
        <f>IF(O134&lt;&gt;"",IF(D134="男",HLOOKUP(O134,各项评分标准!$8:$10,3,1),HLOOKUP(O134,各项评分标准!$9:$10,2,1)),0)</f>
        <v>0</v>
      </c>
      <c r="Q134" s="96">
        <f t="shared" ref="Q134:Q197" si="8">(J134+L134+N134+P134)/4</f>
        <v>0</v>
      </c>
      <c r="R134" s="97">
        <f t="shared" ref="R134:R197" si="9">F134*10%+G134*10%+H134*80%</f>
        <v>0</v>
      </c>
      <c r="S134" s="98"/>
    </row>
    <row r="135" spans="1:19">
      <c r="A135" s="85"/>
      <c r="B135" s="85"/>
      <c r="C135" s="85"/>
      <c r="D135" s="88"/>
      <c r="E135" s="85"/>
      <c r="F135" s="90"/>
      <c r="G135" s="91"/>
      <c r="H135" s="92">
        <f t="shared" si="7"/>
        <v>0</v>
      </c>
      <c r="I135" s="93"/>
      <c r="J135" s="94">
        <f>IF(I135&lt;&gt;"",IF(D135="男",HLOOKUP(I135,各项评分标准!$12:$14,3,1),HLOOKUP(I135,各项评分标准!$13:$14,2,1)),0)</f>
        <v>0</v>
      </c>
      <c r="K135" s="95"/>
      <c r="L135" s="94">
        <f>IF(K135&lt;&gt;"",IF(D135="男",HLOOKUP(K135,各项评分标准!$16:$18,3,1),HLOOKUP(K135,各项评分标准!$17:$18,2,1)),0)</f>
        <v>0</v>
      </c>
      <c r="M135" s="85"/>
      <c r="N135" s="94">
        <f>IF(M135&lt;&gt;"",IF(D135="男",HLOOKUP(M135,各项评分标准!$4:$6,3,1),HLOOKUP(M135,各项评分标准!$5:$6,2,1)),0)</f>
        <v>0</v>
      </c>
      <c r="O135" s="85"/>
      <c r="P135" s="94">
        <f>IF(O135&lt;&gt;"",IF(D135="男",HLOOKUP(O135,各项评分标准!$8:$10,3,1),HLOOKUP(O135,各项评分标准!$9:$10,2,1)),0)</f>
        <v>0</v>
      </c>
      <c r="Q135" s="96">
        <f t="shared" si="8"/>
        <v>0</v>
      </c>
      <c r="R135" s="97">
        <f t="shared" si="9"/>
        <v>0</v>
      </c>
      <c r="S135" s="98"/>
    </row>
    <row r="136" spans="1:19">
      <c r="A136" s="85"/>
      <c r="B136" s="85"/>
      <c r="C136" s="85"/>
      <c r="D136" s="88"/>
      <c r="E136" s="85"/>
      <c r="F136" s="90"/>
      <c r="G136" s="91"/>
      <c r="H136" s="92">
        <f t="shared" si="7"/>
        <v>0</v>
      </c>
      <c r="I136" s="93"/>
      <c r="J136" s="94">
        <f>IF(I136&lt;&gt;"",IF(D136="男",HLOOKUP(I136,各项评分标准!$12:$14,3,1),HLOOKUP(I136,各项评分标准!$13:$14,2,1)),0)</f>
        <v>0</v>
      </c>
      <c r="K136" s="95"/>
      <c r="L136" s="94">
        <f>IF(K136&lt;&gt;"",IF(D136="男",HLOOKUP(K136,各项评分标准!$16:$18,3,1),HLOOKUP(K136,各项评分标准!$17:$18,2,1)),0)</f>
        <v>0</v>
      </c>
      <c r="M136" s="85"/>
      <c r="N136" s="94">
        <f>IF(M136&lt;&gt;"",IF(D136="男",HLOOKUP(M136,各项评分标准!$4:$6,3,1),HLOOKUP(M136,各项评分标准!$5:$6,2,1)),0)</f>
        <v>0</v>
      </c>
      <c r="O136" s="85"/>
      <c r="P136" s="94">
        <f>IF(O136&lt;&gt;"",IF(D136="男",HLOOKUP(O136,各项评分标准!$8:$10,3,1),HLOOKUP(O136,各项评分标准!$9:$10,2,1)),0)</f>
        <v>0</v>
      </c>
      <c r="Q136" s="96">
        <f t="shared" si="8"/>
        <v>0</v>
      </c>
      <c r="R136" s="97">
        <f t="shared" si="9"/>
        <v>0</v>
      </c>
      <c r="S136" s="98"/>
    </row>
    <row r="137" spans="1:19">
      <c r="A137" s="85"/>
      <c r="B137" s="85"/>
      <c r="C137" s="85"/>
      <c r="D137" s="88"/>
      <c r="E137" s="85"/>
      <c r="F137" s="90"/>
      <c r="G137" s="91"/>
      <c r="H137" s="92">
        <f t="shared" ref="H137:H200" si="10">Q137</f>
        <v>0</v>
      </c>
      <c r="I137" s="93"/>
      <c r="J137" s="94">
        <f>IF(I137&lt;&gt;"",IF(D137="男",HLOOKUP(I137,各项评分标准!$12:$14,3,1),HLOOKUP(I137,各项评分标准!$13:$14,2,1)),0)</f>
        <v>0</v>
      </c>
      <c r="K137" s="95"/>
      <c r="L137" s="94">
        <f>IF(K137&lt;&gt;"",IF(D137="男",HLOOKUP(K137,各项评分标准!$16:$18,3,1),HLOOKUP(K137,各项评分标准!$17:$18,2,1)),0)</f>
        <v>0</v>
      </c>
      <c r="M137" s="85"/>
      <c r="N137" s="94">
        <f>IF(M137&lt;&gt;"",IF(D137="男",HLOOKUP(M137,各项评分标准!$4:$6,3,1),HLOOKUP(M137,各项评分标准!$5:$6,2,1)),0)</f>
        <v>0</v>
      </c>
      <c r="O137" s="85"/>
      <c r="P137" s="94">
        <f>IF(O137&lt;&gt;"",IF(D137="男",HLOOKUP(O137,各项评分标准!$8:$10,3,1),HLOOKUP(O137,各项评分标准!$9:$10,2,1)),0)</f>
        <v>0</v>
      </c>
      <c r="Q137" s="96">
        <f t="shared" si="8"/>
        <v>0</v>
      </c>
      <c r="R137" s="97">
        <f t="shared" si="9"/>
        <v>0</v>
      </c>
      <c r="S137" s="98"/>
    </row>
    <row r="138" spans="1:19">
      <c r="A138" s="85"/>
      <c r="B138" s="85"/>
      <c r="C138" s="85"/>
      <c r="D138" s="88"/>
      <c r="E138" s="85"/>
      <c r="F138" s="90"/>
      <c r="G138" s="91"/>
      <c r="H138" s="92">
        <f t="shared" si="10"/>
        <v>0</v>
      </c>
      <c r="I138" s="93"/>
      <c r="J138" s="94">
        <f>IF(I138&lt;&gt;"",IF(D138="男",HLOOKUP(I138,各项评分标准!$12:$14,3,1),HLOOKUP(I138,各项评分标准!$13:$14,2,1)),0)</f>
        <v>0</v>
      </c>
      <c r="K138" s="95"/>
      <c r="L138" s="94">
        <f>IF(K138&lt;&gt;"",IF(D138="男",HLOOKUP(K138,各项评分标准!$16:$18,3,1),HLOOKUP(K138,各项评分标准!$17:$18,2,1)),0)</f>
        <v>0</v>
      </c>
      <c r="M138" s="85"/>
      <c r="N138" s="94">
        <f>IF(M138&lt;&gt;"",IF(D138="男",HLOOKUP(M138,各项评分标准!$4:$6,3,1),HLOOKUP(M138,各项评分标准!$5:$6,2,1)),0)</f>
        <v>0</v>
      </c>
      <c r="O138" s="85"/>
      <c r="P138" s="94">
        <f>IF(O138&lt;&gt;"",IF(D138="男",HLOOKUP(O138,各项评分标准!$8:$10,3,1),HLOOKUP(O138,各项评分标准!$9:$10,2,1)),0)</f>
        <v>0</v>
      </c>
      <c r="Q138" s="96">
        <f t="shared" si="8"/>
        <v>0</v>
      </c>
      <c r="R138" s="97">
        <f t="shared" si="9"/>
        <v>0</v>
      </c>
      <c r="S138" s="98"/>
    </row>
    <row r="139" spans="1:19">
      <c r="A139" s="85"/>
      <c r="B139" s="85"/>
      <c r="C139" s="85"/>
      <c r="D139" s="88"/>
      <c r="E139" s="85"/>
      <c r="F139" s="90"/>
      <c r="G139" s="91"/>
      <c r="H139" s="92">
        <f t="shared" si="10"/>
        <v>0</v>
      </c>
      <c r="I139" s="93"/>
      <c r="J139" s="94">
        <f>IF(I139&lt;&gt;"",IF(D139="男",HLOOKUP(I139,各项评分标准!$12:$14,3,1),HLOOKUP(I139,各项评分标准!$13:$14,2,1)),0)</f>
        <v>0</v>
      </c>
      <c r="K139" s="95"/>
      <c r="L139" s="94">
        <f>IF(K139&lt;&gt;"",IF(D139="男",HLOOKUP(K139,各项评分标准!$16:$18,3,1),HLOOKUP(K139,各项评分标准!$17:$18,2,1)),0)</f>
        <v>0</v>
      </c>
      <c r="M139" s="85"/>
      <c r="N139" s="94">
        <f>IF(M139&lt;&gt;"",IF(D139="男",HLOOKUP(M139,各项评分标准!$4:$6,3,1),HLOOKUP(M139,各项评分标准!$5:$6,2,1)),0)</f>
        <v>0</v>
      </c>
      <c r="O139" s="85"/>
      <c r="P139" s="94">
        <f>IF(O139&lt;&gt;"",IF(D139="男",HLOOKUP(O139,各项评分标准!$8:$10,3,1),HLOOKUP(O139,各项评分标准!$9:$10,2,1)),0)</f>
        <v>0</v>
      </c>
      <c r="Q139" s="96">
        <f t="shared" si="8"/>
        <v>0</v>
      </c>
      <c r="R139" s="97">
        <f t="shared" si="9"/>
        <v>0</v>
      </c>
      <c r="S139" s="98"/>
    </row>
    <row r="140" spans="1:19">
      <c r="A140" s="85"/>
      <c r="B140" s="85"/>
      <c r="C140" s="85"/>
      <c r="D140" s="88"/>
      <c r="E140" s="85"/>
      <c r="F140" s="90"/>
      <c r="G140" s="91"/>
      <c r="H140" s="92">
        <f t="shared" si="10"/>
        <v>0</v>
      </c>
      <c r="I140" s="93"/>
      <c r="J140" s="94">
        <f>IF(I140&lt;&gt;"",IF(D140="男",HLOOKUP(I140,各项评分标准!$12:$14,3,1),HLOOKUP(I140,各项评分标准!$13:$14,2,1)),0)</f>
        <v>0</v>
      </c>
      <c r="K140" s="95"/>
      <c r="L140" s="94">
        <f>IF(K140&lt;&gt;"",IF(D140="男",HLOOKUP(K140,各项评分标准!$16:$18,3,1),HLOOKUP(K140,各项评分标准!$17:$18,2,1)),0)</f>
        <v>0</v>
      </c>
      <c r="M140" s="85"/>
      <c r="N140" s="94">
        <f>IF(M140&lt;&gt;"",IF(D140="男",HLOOKUP(M140,各项评分标准!$4:$6,3,1),HLOOKUP(M140,各项评分标准!$5:$6,2,1)),0)</f>
        <v>0</v>
      </c>
      <c r="O140" s="85"/>
      <c r="P140" s="94">
        <f>IF(O140&lt;&gt;"",IF(D140="男",HLOOKUP(O140,各项评分标准!$8:$10,3,1),HLOOKUP(O140,各项评分标准!$9:$10,2,1)),0)</f>
        <v>0</v>
      </c>
      <c r="Q140" s="96">
        <f t="shared" si="8"/>
        <v>0</v>
      </c>
      <c r="R140" s="97">
        <f t="shared" si="9"/>
        <v>0</v>
      </c>
      <c r="S140" s="98"/>
    </row>
    <row r="141" spans="1:19">
      <c r="A141" s="85"/>
      <c r="B141" s="85"/>
      <c r="C141" s="85"/>
      <c r="D141" s="88"/>
      <c r="E141" s="85"/>
      <c r="F141" s="90"/>
      <c r="G141" s="91"/>
      <c r="H141" s="92">
        <f t="shared" si="10"/>
        <v>0</v>
      </c>
      <c r="I141" s="93"/>
      <c r="J141" s="94">
        <f>IF(I141&lt;&gt;"",IF(D141="男",HLOOKUP(I141,各项评分标准!$12:$14,3,1),HLOOKUP(I141,各项评分标准!$13:$14,2,1)),0)</f>
        <v>0</v>
      </c>
      <c r="K141" s="95"/>
      <c r="L141" s="94">
        <f>IF(K141&lt;&gt;"",IF(D141="男",HLOOKUP(K141,各项评分标准!$16:$18,3,1),HLOOKUP(K141,各项评分标准!$17:$18,2,1)),0)</f>
        <v>0</v>
      </c>
      <c r="M141" s="85"/>
      <c r="N141" s="94">
        <f>IF(M141&lt;&gt;"",IF(D141="男",HLOOKUP(M141,各项评分标准!$4:$6,3,1),HLOOKUP(M141,各项评分标准!$5:$6,2,1)),0)</f>
        <v>0</v>
      </c>
      <c r="O141" s="85"/>
      <c r="P141" s="94">
        <f>IF(O141&lt;&gt;"",IF(D141="男",HLOOKUP(O141,各项评分标准!$8:$10,3,1),HLOOKUP(O141,各项评分标准!$9:$10,2,1)),0)</f>
        <v>0</v>
      </c>
      <c r="Q141" s="96">
        <f t="shared" si="8"/>
        <v>0</v>
      </c>
      <c r="R141" s="97">
        <f t="shared" si="9"/>
        <v>0</v>
      </c>
      <c r="S141" s="98"/>
    </row>
    <row r="142" spans="1:19">
      <c r="A142" s="85"/>
      <c r="B142" s="85"/>
      <c r="C142" s="85"/>
      <c r="D142" s="88"/>
      <c r="E142" s="85"/>
      <c r="F142" s="90"/>
      <c r="G142" s="91"/>
      <c r="H142" s="92">
        <f t="shared" si="10"/>
        <v>0</v>
      </c>
      <c r="I142" s="93"/>
      <c r="J142" s="94">
        <f>IF(I142&lt;&gt;"",IF(D142="男",HLOOKUP(I142,各项评分标准!$12:$14,3,1),HLOOKUP(I142,各项评分标准!$13:$14,2,1)),0)</f>
        <v>0</v>
      </c>
      <c r="K142" s="95"/>
      <c r="L142" s="94">
        <f>IF(K142&lt;&gt;"",IF(D142="男",HLOOKUP(K142,各项评分标准!$16:$18,3,1),HLOOKUP(K142,各项评分标准!$17:$18,2,1)),0)</f>
        <v>0</v>
      </c>
      <c r="M142" s="85"/>
      <c r="N142" s="94">
        <f>IF(M142&lt;&gt;"",IF(D142="男",HLOOKUP(M142,各项评分标准!$4:$6,3,1),HLOOKUP(M142,各项评分标准!$5:$6,2,1)),0)</f>
        <v>0</v>
      </c>
      <c r="O142" s="85"/>
      <c r="P142" s="94">
        <f>IF(O142&lt;&gt;"",IF(D142="男",HLOOKUP(O142,各项评分标准!$8:$10,3,1),HLOOKUP(O142,各项评分标准!$9:$10,2,1)),0)</f>
        <v>0</v>
      </c>
      <c r="Q142" s="96">
        <f t="shared" si="8"/>
        <v>0</v>
      </c>
      <c r="R142" s="97">
        <f t="shared" si="9"/>
        <v>0</v>
      </c>
      <c r="S142" s="98"/>
    </row>
    <row r="143" spans="1:19">
      <c r="A143" s="85"/>
      <c r="B143" s="85"/>
      <c r="C143" s="85"/>
      <c r="D143" s="88"/>
      <c r="E143" s="85"/>
      <c r="F143" s="90"/>
      <c r="G143" s="91"/>
      <c r="H143" s="92">
        <f t="shared" si="10"/>
        <v>0</v>
      </c>
      <c r="I143" s="93"/>
      <c r="J143" s="94">
        <f>IF(I143&lt;&gt;"",IF(D143="男",HLOOKUP(I143,各项评分标准!$12:$14,3,1),HLOOKUP(I143,各项评分标准!$13:$14,2,1)),0)</f>
        <v>0</v>
      </c>
      <c r="K143" s="95"/>
      <c r="L143" s="94">
        <f>IF(K143&lt;&gt;"",IF(D143="男",HLOOKUP(K143,各项评分标准!$16:$18,3,1),HLOOKUP(K143,各项评分标准!$17:$18,2,1)),0)</f>
        <v>0</v>
      </c>
      <c r="M143" s="85"/>
      <c r="N143" s="94">
        <f>IF(M143&lt;&gt;"",IF(D143="男",HLOOKUP(M143,各项评分标准!$4:$6,3,1),HLOOKUP(M143,各项评分标准!$5:$6,2,1)),0)</f>
        <v>0</v>
      </c>
      <c r="O143" s="85"/>
      <c r="P143" s="94">
        <f>IF(O143&lt;&gt;"",IF(D143="男",HLOOKUP(O143,各项评分标准!$8:$10,3,1),HLOOKUP(O143,各项评分标准!$9:$10,2,1)),0)</f>
        <v>0</v>
      </c>
      <c r="Q143" s="96">
        <f t="shared" si="8"/>
        <v>0</v>
      </c>
      <c r="R143" s="97">
        <f t="shared" si="9"/>
        <v>0</v>
      </c>
      <c r="S143" s="98"/>
    </row>
    <row r="144" spans="1:19">
      <c r="A144" s="85"/>
      <c r="B144" s="85"/>
      <c r="C144" s="85"/>
      <c r="D144" s="88"/>
      <c r="E144" s="85"/>
      <c r="F144" s="90"/>
      <c r="G144" s="91"/>
      <c r="H144" s="92">
        <f t="shared" si="10"/>
        <v>0</v>
      </c>
      <c r="I144" s="93"/>
      <c r="J144" s="94">
        <f>IF(I144&lt;&gt;"",IF(D144="男",HLOOKUP(I144,各项评分标准!$12:$14,3,1),HLOOKUP(I144,各项评分标准!$13:$14,2,1)),0)</f>
        <v>0</v>
      </c>
      <c r="K144" s="95"/>
      <c r="L144" s="94">
        <f>IF(K144&lt;&gt;"",IF(D144="男",HLOOKUP(K144,各项评分标准!$16:$18,3,1),HLOOKUP(K144,各项评分标准!$17:$18,2,1)),0)</f>
        <v>0</v>
      </c>
      <c r="M144" s="85"/>
      <c r="N144" s="94">
        <f>IF(M144&lt;&gt;"",IF(D144="男",HLOOKUP(M144,各项评分标准!$4:$6,3,1),HLOOKUP(M144,各项评分标准!$5:$6,2,1)),0)</f>
        <v>0</v>
      </c>
      <c r="O144" s="85"/>
      <c r="P144" s="94">
        <f>IF(O144&lt;&gt;"",IF(D144="男",HLOOKUP(O144,各项评分标准!$8:$10,3,1),HLOOKUP(O144,各项评分标准!$9:$10,2,1)),0)</f>
        <v>0</v>
      </c>
      <c r="Q144" s="96">
        <f t="shared" si="8"/>
        <v>0</v>
      </c>
      <c r="R144" s="97">
        <f t="shared" si="9"/>
        <v>0</v>
      </c>
      <c r="S144" s="98"/>
    </row>
    <row r="145" spans="1:21">
      <c r="A145" s="85"/>
      <c r="B145" s="85"/>
      <c r="C145" s="85"/>
      <c r="D145" s="88"/>
      <c r="E145" s="85"/>
      <c r="F145" s="90"/>
      <c r="G145" s="91"/>
      <c r="H145" s="92">
        <f t="shared" si="10"/>
        <v>0</v>
      </c>
      <c r="I145" s="93"/>
      <c r="J145" s="94">
        <f>IF(I145&lt;&gt;"",IF(D145="男",HLOOKUP(I145,各项评分标准!$12:$14,3,1),HLOOKUP(I145,各项评分标准!$13:$14,2,1)),0)</f>
        <v>0</v>
      </c>
      <c r="K145" s="95"/>
      <c r="L145" s="94">
        <f>IF(K145&lt;&gt;"",IF(D145="男",HLOOKUP(K145,各项评分标准!$16:$18,3,1),HLOOKUP(K145,各项评分标准!$17:$18,2,1)),0)</f>
        <v>0</v>
      </c>
      <c r="M145" s="85"/>
      <c r="N145" s="94">
        <f>IF(M145&lt;&gt;"",IF(D145="男",HLOOKUP(M145,各项评分标准!$4:$6,3,1),HLOOKUP(M145,各项评分标准!$5:$6,2,1)),0)</f>
        <v>0</v>
      </c>
      <c r="O145" s="85"/>
      <c r="P145" s="94">
        <f>IF(O145&lt;&gt;"",IF(D145="男",HLOOKUP(O145,各项评分标准!$8:$10,3,1),HLOOKUP(O145,各项评分标准!$9:$10,2,1)),0)</f>
        <v>0</v>
      </c>
      <c r="Q145" s="96">
        <f t="shared" si="8"/>
        <v>0</v>
      </c>
      <c r="R145" s="97">
        <f t="shared" si="9"/>
        <v>0</v>
      </c>
      <c r="S145" s="98"/>
    </row>
    <row r="146" spans="1:21">
      <c r="A146" s="85"/>
      <c r="B146" s="85"/>
      <c r="C146" s="85"/>
      <c r="D146" s="88"/>
      <c r="E146" s="85"/>
      <c r="F146" s="90"/>
      <c r="G146" s="91"/>
      <c r="H146" s="92">
        <f t="shared" si="10"/>
        <v>0</v>
      </c>
      <c r="I146" s="93"/>
      <c r="J146" s="94">
        <f>IF(I146&lt;&gt;"",IF(D146="男",HLOOKUP(I146,各项评分标准!$12:$14,3,1),HLOOKUP(I146,各项评分标准!$13:$14,2,1)),0)</f>
        <v>0</v>
      </c>
      <c r="K146" s="95"/>
      <c r="L146" s="94">
        <f>IF(K146&lt;&gt;"",IF(D146="男",HLOOKUP(K146,各项评分标准!$16:$18,3,1),HLOOKUP(K146,各项评分标准!$17:$18,2,1)),0)</f>
        <v>0</v>
      </c>
      <c r="M146" s="85"/>
      <c r="N146" s="94">
        <f>IF(M146&lt;&gt;"",IF(D146="男",HLOOKUP(M146,各项评分标准!$4:$6,3,1),HLOOKUP(M146,各项评分标准!$5:$6,2,1)),0)</f>
        <v>0</v>
      </c>
      <c r="O146" s="85"/>
      <c r="P146" s="94">
        <f>IF(O146&lt;&gt;"",IF(D146="男",HLOOKUP(O146,各项评分标准!$8:$10,3,1),HLOOKUP(O146,各项评分标准!$9:$10,2,1)),0)</f>
        <v>0</v>
      </c>
      <c r="Q146" s="96">
        <f t="shared" si="8"/>
        <v>0</v>
      </c>
      <c r="R146" s="97">
        <f t="shared" si="9"/>
        <v>0</v>
      </c>
      <c r="S146" s="98"/>
    </row>
    <row r="147" spans="1:21">
      <c r="A147" s="85"/>
      <c r="B147" s="85"/>
      <c r="C147" s="85"/>
      <c r="D147" s="88"/>
      <c r="E147" s="85"/>
      <c r="F147" s="90"/>
      <c r="G147" s="91"/>
      <c r="H147" s="92">
        <f t="shared" si="10"/>
        <v>0</v>
      </c>
      <c r="I147" s="93"/>
      <c r="J147" s="94">
        <f>IF(I147&lt;&gt;"",IF(D147="男",HLOOKUP(I147,各项评分标准!$12:$14,3,1),HLOOKUP(I147,各项评分标准!$13:$14,2,1)),0)</f>
        <v>0</v>
      </c>
      <c r="K147" s="95"/>
      <c r="L147" s="94">
        <f>IF(K147&lt;&gt;"",IF(D147="男",HLOOKUP(K147,各项评分标准!$16:$18,3,1),HLOOKUP(K147,各项评分标准!$17:$18,2,1)),0)</f>
        <v>0</v>
      </c>
      <c r="M147" s="85"/>
      <c r="N147" s="94">
        <f>IF(M147&lt;&gt;"",IF(D147="男",HLOOKUP(M147,各项评分标准!$4:$6,3,1),HLOOKUP(M147,各项评分标准!$5:$6,2,1)),0)</f>
        <v>0</v>
      </c>
      <c r="O147" s="85"/>
      <c r="P147" s="94">
        <f>IF(O147&lt;&gt;"",IF(D147="男",HLOOKUP(O147,各项评分标准!$8:$10,3,1),HLOOKUP(O147,各项评分标准!$9:$10,2,1)),0)</f>
        <v>0</v>
      </c>
      <c r="Q147" s="96">
        <f t="shared" si="8"/>
        <v>0</v>
      </c>
      <c r="R147" s="97">
        <f t="shared" si="9"/>
        <v>0</v>
      </c>
      <c r="S147" s="98"/>
    </row>
    <row r="148" spans="1:21">
      <c r="A148" s="85"/>
      <c r="B148" s="85"/>
      <c r="C148" s="85"/>
      <c r="D148" s="88"/>
      <c r="E148" s="85"/>
      <c r="F148" s="90"/>
      <c r="G148" s="91"/>
      <c r="H148" s="92">
        <f t="shared" si="10"/>
        <v>0</v>
      </c>
      <c r="I148" s="93"/>
      <c r="J148" s="94">
        <f>IF(I148&lt;&gt;"",IF(D148="男",HLOOKUP(I148,各项评分标准!$12:$14,3,1),HLOOKUP(I148,各项评分标准!$13:$14,2,1)),0)</f>
        <v>0</v>
      </c>
      <c r="K148" s="95"/>
      <c r="L148" s="94">
        <f>IF(K148&lt;&gt;"",IF(D148="男",HLOOKUP(K148,各项评分标准!$16:$18,3,1),HLOOKUP(K148,各项评分标准!$17:$18,2,1)),0)</f>
        <v>0</v>
      </c>
      <c r="M148" s="85"/>
      <c r="N148" s="94">
        <f>IF(M148&lt;&gt;"",IF(D148="男",HLOOKUP(M148,各项评分标准!$4:$6,3,1),HLOOKUP(M148,各项评分标准!$5:$6,2,1)),0)</f>
        <v>0</v>
      </c>
      <c r="O148" s="85"/>
      <c r="P148" s="94">
        <f>IF(O148&lt;&gt;"",IF(D148="男",HLOOKUP(O148,各项评分标准!$8:$10,3,1),HLOOKUP(O148,各项评分标准!$9:$10,2,1)),0)</f>
        <v>0</v>
      </c>
      <c r="Q148" s="96">
        <f t="shared" si="8"/>
        <v>0</v>
      </c>
      <c r="R148" s="97">
        <f t="shared" si="9"/>
        <v>0</v>
      </c>
      <c r="S148" s="98"/>
    </row>
    <row r="149" s="61" customFormat="1" spans="1:21">
      <c r="A149" s="85"/>
      <c r="B149" s="85"/>
      <c r="C149" s="85"/>
      <c r="D149" s="88"/>
      <c r="E149" s="85"/>
      <c r="F149" s="90"/>
      <c r="G149" s="91"/>
      <c r="H149" s="92">
        <f t="shared" si="10"/>
        <v>0</v>
      </c>
      <c r="I149" s="93"/>
      <c r="J149" s="94">
        <f>IF(I149&lt;&gt;"",IF(D149="男",HLOOKUP(I149,各项评分标准!$12:$14,3,1),HLOOKUP(I149,各项评分标准!$13:$14,2,1)),0)</f>
        <v>0</v>
      </c>
      <c r="K149" s="95"/>
      <c r="L149" s="94">
        <f>IF(K149&lt;&gt;"",IF(D149="男",HLOOKUP(K149,各项评分标准!$16:$18,3,1),HLOOKUP(K149,各项评分标准!$17:$18,2,1)),0)</f>
        <v>0</v>
      </c>
      <c r="M149" s="85"/>
      <c r="N149" s="94">
        <f>IF(M149&lt;&gt;"",IF(D149="男",HLOOKUP(M149,各项评分标准!$4:$6,3,1),HLOOKUP(M149,各项评分标准!$5:$6,2,1)),0)</f>
        <v>0</v>
      </c>
      <c r="O149" s="85"/>
      <c r="P149" s="94">
        <f>IF(O149&lt;&gt;"",IF(D149="男",HLOOKUP(O149,各项评分标准!$8:$10,3,1),HLOOKUP(O149,各项评分标准!$9:$10,2,1)),0)</f>
        <v>0</v>
      </c>
      <c r="Q149" s="96">
        <f t="shared" si="8"/>
        <v>0</v>
      </c>
      <c r="R149" s="97">
        <f t="shared" si="9"/>
        <v>0</v>
      </c>
      <c r="S149" s="98"/>
      <c r="T149" s="102"/>
      <c r="U149" s="102"/>
    </row>
    <row r="150" spans="1:21">
      <c r="A150" s="85"/>
      <c r="B150" s="85"/>
      <c r="C150" s="85"/>
      <c r="D150" s="88"/>
      <c r="E150" s="85"/>
      <c r="F150" s="90"/>
      <c r="G150" s="91"/>
      <c r="H150" s="92">
        <f t="shared" si="10"/>
        <v>0</v>
      </c>
      <c r="I150" s="93"/>
      <c r="J150" s="94">
        <f>IF(I150&lt;&gt;"",IF(D150="男",HLOOKUP(I150,各项评分标准!$12:$14,3,1),HLOOKUP(I150,各项评分标准!$13:$14,2,1)),0)</f>
        <v>0</v>
      </c>
      <c r="K150" s="95"/>
      <c r="L150" s="94">
        <f>IF(K150&lt;&gt;"",IF(D150="男",HLOOKUP(K150,各项评分标准!$16:$18,3,1),HLOOKUP(K150,各项评分标准!$17:$18,2,1)),0)</f>
        <v>0</v>
      </c>
      <c r="M150" s="85"/>
      <c r="N150" s="94">
        <f>IF(M150&lt;&gt;"",IF(D150="男",HLOOKUP(M150,各项评分标准!$4:$6,3,1),HLOOKUP(M150,各项评分标准!$5:$6,2,1)),0)</f>
        <v>0</v>
      </c>
      <c r="O150" s="85"/>
      <c r="P150" s="94">
        <f>IF(O150&lt;&gt;"",IF(D150="男",HLOOKUP(O150,各项评分标准!$8:$10,3,1),HLOOKUP(O150,各项评分标准!$9:$10,2,1)),0)</f>
        <v>0</v>
      </c>
      <c r="Q150" s="96">
        <f t="shared" si="8"/>
        <v>0</v>
      </c>
      <c r="R150" s="97">
        <f t="shared" si="9"/>
        <v>0</v>
      </c>
      <c r="S150" s="98"/>
    </row>
    <row r="151" spans="1:21">
      <c r="A151" s="85"/>
      <c r="B151" s="85"/>
      <c r="C151" s="85"/>
      <c r="D151" s="88"/>
      <c r="E151" s="85"/>
      <c r="F151" s="90"/>
      <c r="G151" s="91"/>
      <c r="H151" s="92">
        <f t="shared" si="10"/>
        <v>0</v>
      </c>
      <c r="I151" s="93"/>
      <c r="J151" s="94">
        <f>IF(I151&lt;&gt;"",IF(D151="男",HLOOKUP(I151,各项评分标准!$12:$14,3,1),HLOOKUP(I151,各项评分标准!$13:$14,2,1)),0)</f>
        <v>0</v>
      </c>
      <c r="K151" s="95"/>
      <c r="L151" s="94">
        <f>IF(K151&lt;&gt;"",IF(D151="男",HLOOKUP(K151,各项评分标准!$16:$18,3,1),HLOOKUP(K151,各项评分标准!$17:$18,2,1)),0)</f>
        <v>0</v>
      </c>
      <c r="M151" s="85"/>
      <c r="N151" s="94">
        <f>IF(M151&lt;&gt;"",IF(D151="男",HLOOKUP(M151,各项评分标准!$4:$6,3,1),HLOOKUP(M151,各项评分标准!$5:$6,2,1)),0)</f>
        <v>0</v>
      </c>
      <c r="O151" s="85"/>
      <c r="P151" s="94">
        <f>IF(O151&lt;&gt;"",IF(D151="男",HLOOKUP(O151,各项评分标准!$8:$10,3,1),HLOOKUP(O151,各项评分标准!$9:$10,2,1)),0)</f>
        <v>0</v>
      </c>
      <c r="Q151" s="96">
        <f t="shared" si="8"/>
        <v>0</v>
      </c>
      <c r="R151" s="97">
        <f t="shared" si="9"/>
        <v>0</v>
      </c>
      <c r="S151" s="98"/>
    </row>
    <row r="152" spans="1:21">
      <c r="A152" s="85"/>
      <c r="B152" s="85"/>
      <c r="C152" s="85"/>
      <c r="D152" s="88"/>
      <c r="E152" s="85"/>
      <c r="F152" s="90"/>
      <c r="G152" s="91"/>
      <c r="H152" s="92">
        <f t="shared" si="10"/>
        <v>0</v>
      </c>
      <c r="I152" s="93"/>
      <c r="J152" s="94">
        <f>IF(I152&lt;&gt;"",IF(D152="男",HLOOKUP(I152,各项评分标准!$12:$14,3,1),HLOOKUP(I152,各项评分标准!$13:$14,2,1)),0)</f>
        <v>0</v>
      </c>
      <c r="K152" s="95"/>
      <c r="L152" s="94">
        <f>IF(K152&lt;&gt;"",IF(D152="男",HLOOKUP(K152,各项评分标准!$16:$18,3,1),HLOOKUP(K152,各项评分标准!$17:$18,2,1)),0)</f>
        <v>0</v>
      </c>
      <c r="M152" s="85"/>
      <c r="N152" s="94">
        <f>IF(M152&lt;&gt;"",IF(D152="男",HLOOKUP(M152,各项评分标准!$4:$6,3,1),HLOOKUP(M152,各项评分标准!$5:$6,2,1)),0)</f>
        <v>0</v>
      </c>
      <c r="O152" s="85"/>
      <c r="P152" s="94">
        <f>IF(O152&lt;&gt;"",IF(D152="男",HLOOKUP(O152,各项评分标准!$8:$10,3,1),HLOOKUP(O152,各项评分标准!$9:$10,2,1)),0)</f>
        <v>0</v>
      </c>
      <c r="Q152" s="96">
        <f t="shared" si="8"/>
        <v>0</v>
      </c>
      <c r="R152" s="97">
        <f t="shared" si="9"/>
        <v>0</v>
      </c>
      <c r="S152" s="98"/>
    </row>
    <row r="153" spans="1:21">
      <c r="A153" s="85"/>
      <c r="B153" s="85"/>
      <c r="C153" s="85"/>
      <c r="D153" s="88"/>
      <c r="E153" s="85"/>
      <c r="F153" s="90"/>
      <c r="G153" s="91"/>
      <c r="H153" s="92">
        <f t="shared" si="10"/>
        <v>0</v>
      </c>
      <c r="I153" s="93"/>
      <c r="J153" s="94">
        <f>IF(I153&lt;&gt;"",IF(D153="男",HLOOKUP(I153,各项评分标准!$12:$14,3,1),HLOOKUP(I153,各项评分标准!$13:$14,2,1)),0)</f>
        <v>0</v>
      </c>
      <c r="K153" s="95"/>
      <c r="L153" s="94">
        <f>IF(K153&lt;&gt;"",IF(D153="男",HLOOKUP(K153,各项评分标准!$16:$18,3,1),HLOOKUP(K153,各项评分标准!$17:$18,2,1)),0)</f>
        <v>0</v>
      </c>
      <c r="M153" s="85"/>
      <c r="N153" s="94">
        <f>IF(M153&lt;&gt;"",IF(D153="男",HLOOKUP(M153,各项评分标准!$4:$6,3,1),HLOOKUP(M153,各项评分标准!$5:$6,2,1)),0)</f>
        <v>0</v>
      </c>
      <c r="O153" s="85"/>
      <c r="P153" s="94">
        <f>IF(O153&lt;&gt;"",IF(D153="男",HLOOKUP(O153,各项评分标准!$8:$10,3,1),HLOOKUP(O153,各项评分标准!$9:$10,2,1)),0)</f>
        <v>0</v>
      </c>
      <c r="Q153" s="96">
        <f t="shared" si="8"/>
        <v>0</v>
      </c>
      <c r="R153" s="97">
        <f t="shared" si="9"/>
        <v>0</v>
      </c>
      <c r="S153" s="98"/>
    </row>
    <row r="154" spans="1:21">
      <c r="A154" s="85"/>
      <c r="B154" s="85"/>
      <c r="C154" s="85"/>
      <c r="D154" s="88"/>
      <c r="E154" s="85"/>
      <c r="F154" s="90"/>
      <c r="G154" s="91"/>
      <c r="H154" s="92">
        <f t="shared" si="10"/>
        <v>0</v>
      </c>
      <c r="I154" s="93"/>
      <c r="J154" s="94">
        <f>IF(I154&lt;&gt;"",IF(D154="男",HLOOKUP(I154,各项评分标准!$12:$14,3,1),HLOOKUP(I154,各项评分标准!$13:$14,2,1)),0)</f>
        <v>0</v>
      </c>
      <c r="K154" s="95"/>
      <c r="L154" s="94">
        <f>IF(K154&lt;&gt;"",IF(D154="男",HLOOKUP(K154,各项评分标准!$16:$18,3,1),HLOOKUP(K154,各项评分标准!$17:$18,2,1)),0)</f>
        <v>0</v>
      </c>
      <c r="M154" s="85"/>
      <c r="N154" s="94">
        <f>IF(M154&lt;&gt;"",IF(D154="男",HLOOKUP(M154,各项评分标准!$4:$6,3,1),HLOOKUP(M154,各项评分标准!$5:$6,2,1)),0)</f>
        <v>0</v>
      </c>
      <c r="O154" s="85"/>
      <c r="P154" s="94">
        <f>IF(O154&lt;&gt;"",IF(D154="男",HLOOKUP(O154,各项评分标准!$8:$10,3,1),HLOOKUP(O154,各项评分标准!$9:$10,2,1)),0)</f>
        <v>0</v>
      </c>
      <c r="Q154" s="96">
        <f t="shared" si="8"/>
        <v>0</v>
      </c>
      <c r="R154" s="97">
        <f t="shared" si="9"/>
        <v>0</v>
      </c>
      <c r="S154" s="98"/>
    </row>
    <row r="155" spans="1:21">
      <c r="A155" s="85"/>
      <c r="B155" s="85"/>
      <c r="C155" s="85"/>
      <c r="D155" s="88"/>
      <c r="E155" s="85"/>
      <c r="F155" s="90"/>
      <c r="G155" s="91"/>
      <c r="H155" s="92">
        <f t="shared" si="10"/>
        <v>0</v>
      </c>
      <c r="I155" s="93"/>
      <c r="J155" s="94">
        <f>IF(I155&lt;&gt;"",IF(D155="男",HLOOKUP(I155,各项评分标准!$12:$14,3,1),HLOOKUP(I155,各项评分标准!$13:$14,2,1)),0)</f>
        <v>0</v>
      </c>
      <c r="K155" s="95"/>
      <c r="L155" s="94">
        <f>IF(K155&lt;&gt;"",IF(D155="男",HLOOKUP(K155,各项评分标准!$16:$18,3,1),HLOOKUP(K155,各项评分标准!$17:$18,2,1)),0)</f>
        <v>0</v>
      </c>
      <c r="M155" s="85"/>
      <c r="N155" s="94">
        <f>IF(M155&lt;&gt;"",IF(D155="男",HLOOKUP(M155,各项评分标准!$4:$6,3,1),HLOOKUP(M155,各项评分标准!$5:$6,2,1)),0)</f>
        <v>0</v>
      </c>
      <c r="O155" s="85"/>
      <c r="P155" s="94">
        <f>IF(O155&lt;&gt;"",IF(D155="男",HLOOKUP(O155,各项评分标准!$8:$10,3,1),HLOOKUP(O155,各项评分标准!$9:$10,2,1)),0)</f>
        <v>0</v>
      </c>
      <c r="Q155" s="96">
        <f t="shared" si="8"/>
        <v>0</v>
      </c>
      <c r="R155" s="97">
        <f t="shared" si="9"/>
        <v>0</v>
      </c>
      <c r="S155" s="98"/>
    </row>
    <row r="156" spans="1:21">
      <c r="A156" s="85"/>
      <c r="B156" s="85"/>
      <c r="C156" s="85"/>
      <c r="D156" s="88"/>
      <c r="E156" s="85"/>
      <c r="F156" s="90"/>
      <c r="G156" s="91"/>
      <c r="H156" s="92">
        <f t="shared" si="10"/>
        <v>0</v>
      </c>
      <c r="I156" s="93"/>
      <c r="J156" s="94">
        <f>IF(I156&lt;&gt;"",IF(D156="男",HLOOKUP(I156,各项评分标准!$12:$14,3,1),HLOOKUP(I156,各项评分标准!$13:$14,2,1)),0)</f>
        <v>0</v>
      </c>
      <c r="K156" s="95"/>
      <c r="L156" s="94">
        <f>IF(K156&lt;&gt;"",IF(D156="男",HLOOKUP(K156,各项评分标准!$16:$18,3,1),HLOOKUP(K156,各项评分标准!$17:$18,2,1)),0)</f>
        <v>0</v>
      </c>
      <c r="M156" s="85"/>
      <c r="N156" s="94">
        <f>IF(M156&lt;&gt;"",IF(D156="男",HLOOKUP(M156,各项评分标准!$4:$6,3,1),HLOOKUP(M156,各项评分标准!$5:$6,2,1)),0)</f>
        <v>0</v>
      </c>
      <c r="O156" s="85"/>
      <c r="P156" s="94">
        <f>IF(O156&lt;&gt;"",IF(D156="男",HLOOKUP(O156,各项评分标准!$8:$10,3,1),HLOOKUP(O156,各项评分标准!$9:$10,2,1)),0)</f>
        <v>0</v>
      </c>
      <c r="Q156" s="96">
        <f t="shared" si="8"/>
        <v>0</v>
      </c>
      <c r="R156" s="97">
        <f t="shared" si="9"/>
        <v>0</v>
      </c>
      <c r="S156" s="98"/>
    </row>
    <row r="157" spans="1:21">
      <c r="A157" s="85"/>
      <c r="B157" s="85"/>
      <c r="C157" s="85"/>
      <c r="D157" s="88"/>
      <c r="E157" s="85"/>
      <c r="F157" s="90"/>
      <c r="G157" s="91"/>
      <c r="H157" s="92">
        <f t="shared" si="10"/>
        <v>0</v>
      </c>
      <c r="I157" s="93"/>
      <c r="J157" s="94">
        <f>IF(I157&lt;&gt;"",IF(D157="男",HLOOKUP(I157,各项评分标准!$12:$14,3,1),HLOOKUP(I157,各项评分标准!$13:$14,2,1)),0)</f>
        <v>0</v>
      </c>
      <c r="K157" s="95"/>
      <c r="L157" s="94">
        <f>IF(K157&lt;&gt;"",IF(D157="男",HLOOKUP(K157,各项评分标准!$16:$18,3,1),HLOOKUP(K157,各项评分标准!$17:$18,2,1)),0)</f>
        <v>0</v>
      </c>
      <c r="M157" s="85"/>
      <c r="N157" s="94">
        <f>IF(M157&lt;&gt;"",IF(D157="男",HLOOKUP(M157,各项评分标准!$4:$6,3,1),HLOOKUP(M157,各项评分标准!$5:$6,2,1)),0)</f>
        <v>0</v>
      </c>
      <c r="O157" s="85"/>
      <c r="P157" s="94">
        <f>IF(O157&lt;&gt;"",IF(D157="男",HLOOKUP(O157,各项评分标准!$8:$10,3,1),HLOOKUP(O157,各项评分标准!$9:$10,2,1)),0)</f>
        <v>0</v>
      </c>
      <c r="Q157" s="96">
        <f t="shared" si="8"/>
        <v>0</v>
      </c>
      <c r="R157" s="97">
        <f t="shared" si="9"/>
        <v>0</v>
      </c>
      <c r="S157" s="100"/>
    </row>
    <row r="158" spans="1:21">
      <c r="A158" s="85"/>
      <c r="B158" s="85"/>
      <c r="C158" s="85"/>
      <c r="D158" s="88"/>
      <c r="E158" s="85"/>
      <c r="F158" s="90"/>
      <c r="G158" s="91"/>
      <c r="H158" s="92">
        <f t="shared" si="10"/>
        <v>0</v>
      </c>
      <c r="I158" s="93"/>
      <c r="J158" s="94">
        <f>IF(I158&lt;&gt;"",IF(D158="男",HLOOKUP(I158,各项评分标准!$12:$14,3,1),HLOOKUP(I158,各项评分标准!$13:$14,2,1)),0)</f>
        <v>0</v>
      </c>
      <c r="K158" s="95"/>
      <c r="L158" s="94">
        <f>IF(K158&lt;&gt;"",IF(D158="男",HLOOKUP(K158,各项评分标准!$16:$18,3,1),HLOOKUP(K158,各项评分标准!$17:$18,2,1)),0)</f>
        <v>0</v>
      </c>
      <c r="M158" s="85"/>
      <c r="N158" s="94">
        <f>IF(M158&lt;&gt;"",IF(D158="男",HLOOKUP(M158,各项评分标准!$4:$6,3,1),HLOOKUP(M158,各项评分标准!$5:$6,2,1)),0)</f>
        <v>0</v>
      </c>
      <c r="O158" s="85"/>
      <c r="P158" s="94">
        <f>IF(O158&lt;&gt;"",IF(D158="男",HLOOKUP(O158,各项评分标准!$8:$10,3,1),HLOOKUP(O158,各项评分标准!$9:$10,2,1)),0)</f>
        <v>0</v>
      </c>
      <c r="Q158" s="96">
        <f t="shared" si="8"/>
        <v>0</v>
      </c>
      <c r="R158" s="97">
        <f t="shared" si="9"/>
        <v>0</v>
      </c>
      <c r="S158" s="98"/>
    </row>
    <row r="159" spans="1:21">
      <c r="A159" s="85"/>
      <c r="B159" s="85"/>
      <c r="C159" s="85"/>
      <c r="D159" s="88"/>
      <c r="E159" s="85"/>
      <c r="F159" s="90"/>
      <c r="G159" s="91"/>
      <c r="H159" s="92">
        <f t="shared" si="10"/>
        <v>0</v>
      </c>
      <c r="I159" s="93"/>
      <c r="J159" s="94">
        <f>IF(I159&lt;&gt;"",IF(D159="男",HLOOKUP(I159,各项评分标准!$12:$14,3,1),HLOOKUP(I159,各项评分标准!$13:$14,2,1)),0)</f>
        <v>0</v>
      </c>
      <c r="K159" s="95"/>
      <c r="L159" s="94">
        <f>IF(K159&lt;&gt;"",IF(D159="男",HLOOKUP(K159,各项评分标准!$16:$18,3,1),HLOOKUP(K159,各项评分标准!$17:$18,2,1)),0)</f>
        <v>0</v>
      </c>
      <c r="M159" s="85"/>
      <c r="N159" s="94">
        <f>IF(M159&lt;&gt;"",IF(D159="男",HLOOKUP(M159,各项评分标准!$4:$6,3,1),HLOOKUP(M159,各项评分标准!$5:$6,2,1)),0)</f>
        <v>0</v>
      </c>
      <c r="O159" s="85"/>
      <c r="P159" s="94">
        <f>IF(O159&lt;&gt;"",IF(D159="男",HLOOKUP(O159,各项评分标准!$8:$10,3,1),HLOOKUP(O159,各项评分标准!$9:$10,2,1)),0)</f>
        <v>0</v>
      </c>
      <c r="Q159" s="96">
        <f t="shared" si="8"/>
        <v>0</v>
      </c>
      <c r="R159" s="97">
        <f t="shared" si="9"/>
        <v>0</v>
      </c>
      <c r="S159" s="98"/>
    </row>
    <row r="160" spans="1:21">
      <c r="A160" s="85"/>
      <c r="B160" s="85"/>
      <c r="C160" s="85"/>
      <c r="D160" s="88"/>
      <c r="E160" s="85"/>
      <c r="F160" s="90"/>
      <c r="G160" s="91"/>
      <c r="H160" s="92">
        <f t="shared" si="10"/>
        <v>0</v>
      </c>
      <c r="I160" s="93"/>
      <c r="J160" s="94">
        <f>IF(I160&lt;&gt;"",IF(D160="男",HLOOKUP(I160,各项评分标准!$12:$14,3,1),HLOOKUP(I160,各项评分标准!$13:$14,2,1)),0)</f>
        <v>0</v>
      </c>
      <c r="K160" s="95"/>
      <c r="L160" s="94">
        <f>IF(K160&lt;&gt;"",IF(D160="男",HLOOKUP(K160,各项评分标准!$16:$18,3,1),HLOOKUP(K160,各项评分标准!$17:$18,2,1)),0)</f>
        <v>0</v>
      </c>
      <c r="M160" s="85"/>
      <c r="N160" s="94">
        <f>IF(M160&lt;&gt;"",IF(D160="男",HLOOKUP(M160,各项评分标准!$4:$6,3,1),HLOOKUP(M160,各项评分标准!$5:$6,2,1)),0)</f>
        <v>0</v>
      </c>
      <c r="O160" s="85"/>
      <c r="P160" s="94">
        <f>IF(O160&lt;&gt;"",IF(D160="男",HLOOKUP(O160,各项评分标准!$8:$10,3,1),HLOOKUP(O160,各项评分标准!$9:$10,2,1)),0)</f>
        <v>0</v>
      </c>
      <c r="Q160" s="96">
        <f t="shared" si="8"/>
        <v>0</v>
      </c>
      <c r="R160" s="97">
        <f t="shared" si="9"/>
        <v>0</v>
      </c>
      <c r="S160" s="98"/>
    </row>
    <row r="161" spans="1:21">
      <c r="A161" s="85"/>
      <c r="B161" s="85"/>
      <c r="C161" s="85"/>
      <c r="D161" s="88"/>
      <c r="E161" s="85"/>
      <c r="F161" s="90"/>
      <c r="G161" s="91"/>
      <c r="H161" s="92">
        <f t="shared" si="10"/>
        <v>0</v>
      </c>
      <c r="I161" s="93"/>
      <c r="J161" s="94">
        <f>IF(I161&lt;&gt;"",IF(D161="男",HLOOKUP(I161,各项评分标准!$12:$14,3,1),HLOOKUP(I161,各项评分标准!$13:$14,2,1)),0)</f>
        <v>0</v>
      </c>
      <c r="K161" s="95"/>
      <c r="L161" s="94">
        <f>IF(K161&lt;&gt;"",IF(D161="男",HLOOKUP(K161,各项评分标准!$16:$18,3,1),HLOOKUP(K161,各项评分标准!$17:$18,2,1)),0)</f>
        <v>0</v>
      </c>
      <c r="M161" s="85"/>
      <c r="N161" s="94">
        <f>IF(M161&lt;&gt;"",IF(D161="男",HLOOKUP(M161,各项评分标准!$4:$6,3,1),HLOOKUP(M161,各项评分标准!$5:$6,2,1)),0)</f>
        <v>0</v>
      </c>
      <c r="O161" s="85"/>
      <c r="P161" s="94">
        <f>IF(O161&lt;&gt;"",IF(D161="男",HLOOKUP(O161,各项评分标准!$8:$10,3,1),HLOOKUP(O161,各项评分标准!$9:$10,2,1)),0)</f>
        <v>0</v>
      </c>
      <c r="Q161" s="96">
        <f t="shared" si="8"/>
        <v>0</v>
      </c>
      <c r="R161" s="97">
        <f t="shared" si="9"/>
        <v>0</v>
      </c>
      <c r="S161" s="98"/>
    </row>
    <row r="162" spans="1:21">
      <c r="A162" s="85"/>
      <c r="B162" s="85"/>
      <c r="C162" s="85"/>
      <c r="D162" s="88"/>
      <c r="E162" s="85"/>
      <c r="F162" s="90"/>
      <c r="G162" s="91"/>
      <c r="H162" s="92">
        <f t="shared" si="10"/>
        <v>0</v>
      </c>
      <c r="I162" s="93"/>
      <c r="J162" s="94">
        <f>IF(I162&lt;&gt;"",IF(D162="男",HLOOKUP(I162,各项评分标准!$12:$14,3,1),HLOOKUP(I162,各项评分标准!$13:$14,2,1)),0)</f>
        <v>0</v>
      </c>
      <c r="K162" s="95"/>
      <c r="L162" s="94">
        <f>IF(K162&lt;&gt;"",IF(D162="男",HLOOKUP(K162,各项评分标准!$16:$18,3,1),HLOOKUP(K162,各项评分标准!$17:$18,2,1)),0)</f>
        <v>0</v>
      </c>
      <c r="M162" s="85"/>
      <c r="N162" s="94">
        <f>IF(M162&lt;&gt;"",IF(D162="男",HLOOKUP(M162,各项评分标准!$4:$6,3,1),HLOOKUP(M162,各项评分标准!$5:$6,2,1)),0)</f>
        <v>0</v>
      </c>
      <c r="O162" s="85"/>
      <c r="P162" s="94">
        <f>IF(O162&lt;&gt;"",IF(D162="男",HLOOKUP(O162,各项评分标准!$8:$10,3,1),HLOOKUP(O162,各项评分标准!$9:$10,2,1)),0)</f>
        <v>0</v>
      </c>
      <c r="Q162" s="96">
        <f t="shared" si="8"/>
        <v>0</v>
      </c>
      <c r="R162" s="97">
        <f t="shared" si="9"/>
        <v>0</v>
      </c>
      <c r="S162" s="98"/>
    </row>
    <row r="163" spans="1:21">
      <c r="A163" s="85"/>
      <c r="B163" s="85"/>
      <c r="C163" s="85"/>
      <c r="D163" s="88"/>
      <c r="E163" s="85"/>
      <c r="F163" s="90"/>
      <c r="G163" s="91"/>
      <c r="H163" s="92">
        <f t="shared" si="10"/>
        <v>0</v>
      </c>
      <c r="I163" s="93"/>
      <c r="J163" s="94">
        <f>IF(I163&lt;&gt;"",IF(D163="男",HLOOKUP(I163,各项评分标准!$12:$14,3,1),HLOOKUP(I163,各项评分标准!$13:$14,2,1)),0)</f>
        <v>0</v>
      </c>
      <c r="K163" s="95"/>
      <c r="L163" s="94">
        <f>IF(K163&lt;&gt;"",IF(D163="男",HLOOKUP(K163,各项评分标准!$16:$18,3,1),HLOOKUP(K163,各项评分标准!$17:$18,2,1)),0)</f>
        <v>0</v>
      </c>
      <c r="M163" s="85"/>
      <c r="N163" s="94">
        <f>IF(M163&lt;&gt;"",IF(D163="男",HLOOKUP(M163,各项评分标准!$4:$6,3,1),HLOOKUP(M163,各项评分标准!$5:$6,2,1)),0)</f>
        <v>0</v>
      </c>
      <c r="O163" s="85"/>
      <c r="P163" s="94">
        <f>IF(O163&lt;&gt;"",IF(D163="男",HLOOKUP(O163,各项评分标准!$8:$10,3,1),HLOOKUP(O163,各项评分标准!$9:$10,2,1)),0)</f>
        <v>0</v>
      </c>
      <c r="Q163" s="96">
        <f t="shared" si="8"/>
        <v>0</v>
      </c>
      <c r="R163" s="97">
        <f t="shared" si="9"/>
        <v>0</v>
      </c>
      <c r="S163" s="98"/>
    </row>
    <row r="164" spans="1:21">
      <c r="A164" s="85"/>
      <c r="B164" s="85"/>
      <c r="C164" s="85"/>
      <c r="D164" s="88"/>
      <c r="E164" s="85"/>
      <c r="F164" s="90"/>
      <c r="G164" s="91"/>
      <c r="H164" s="92">
        <f t="shared" si="10"/>
        <v>0</v>
      </c>
      <c r="I164" s="93"/>
      <c r="J164" s="94">
        <f>IF(I164&lt;&gt;"",IF(D164="男",HLOOKUP(I164,各项评分标准!$12:$14,3,1),HLOOKUP(I164,各项评分标准!$13:$14,2,1)),0)</f>
        <v>0</v>
      </c>
      <c r="K164" s="95"/>
      <c r="L164" s="94">
        <f>IF(K164&lt;&gt;"",IF(D164="男",HLOOKUP(K164,各项评分标准!$16:$18,3,1),HLOOKUP(K164,各项评分标准!$17:$18,2,1)),0)</f>
        <v>0</v>
      </c>
      <c r="M164" s="85"/>
      <c r="N164" s="94">
        <f>IF(M164&lt;&gt;"",IF(D164="男",HLOOKUP(M164,各项评分标准!$4:$6,3,1),HLOOKUP(M164,各项评分标准!$5:$6,2,1)),0)</f>
        <v>0</v>
      </c>
      <c r="O164" s="85"/>
      <c r="P164" s="94">
        <f>IF(O164&lt;&gt;"",IF(D164="男",HLOOKUP(O164,各项评分标准!$8:$10,3,1),HLOOKUP(O164,各项评分标准!$9:$10,2,1)),0)</f>
        <v>0</v>
      </c>
      <c r="Q164" s="96">
        <f t="shared" si="8"/>
        <v>0</v>
      </c>
      <c r="R164" s="97">
        <f t="shared" si="9"/>
        <v>0</v>
      </c>
      <c r="S164" s="98"/>
    </row>
    <row r="165" spans="1:21">
      <c r="A165" s="85"/>
      <c r="B165" s="85"/>
      <c r="C165" s="85"/>
      <c r="D165" s="88"/>
      <c r="E165" s="85"/>
      <c r="F165" s="90"/>
      <c r="G165" s="91"/>
      <c r="H165" s="92">
        <f t="shared" si="10"/>
        <v>0</v>
      </c>
      <c r="I165" s="93"/>
      <c r="J165" s="94">
        <f>IF(I165&lt;&gt;"",IF(D165="男",HLOOKUP(I165,各项评分标准!$12:$14,3,1),HLOOKUP(I165,各项评分标准!$13:$14,2,1)),0)</f>
        <v>0</v>
      </c>
      <c r="K165" s="95"/>
      <c r="L165" s="94">
        <f>IF(K165&lt;&gt;"",IF(D165="男",HLOOKUP(K165,各项评分标准!$16:$18,3,1),HLOOKUP(K165,各项评分标准!$17:$18,2,1)),0)</f>
        <v>0</v>
      </c>
      <c r="M165" s="85"/>
      <c r="N165" s="94">
        <f>IF(M165&lt;&gt;"",IF(D165="男",HLOOKUP(M165,各项评分标准!$4:$6,3,1),HLOOKUP(M165,各项评分标准!$5:$6,2,1)),0)</f>
        <v>0</v>
      </c>
      <c r="O165" s="85"/>
      <c r="P165" s="94">
        <f>IF(O165&lt;&gt;"",IF(D165="男",HLOOKUP(O165,各项评分标准!$8:$10,3,1),HLOOKUP(O165,各项评分标准!$9:$10,2,1)),0)</f>
        <v>0</v>
      </c>
      <c r="Q165" s="96">
        <f t="shared" si="8"/>
        <v>0</v>
      </c>
      <c r="R165" s="97">
        <f t="shared" si="9"/>
        <v>0</v>
      </c>
      <c r="S165" s="98"/>
    </row>
    <row r="166" spans="1:21">
      <c r="A166" s="85"/>
      <c r="B166" s="85"/>
      <c r="C166" s="85"/>
      <c r="D166" s="88"/>
      <c r="E166" s="85"/>
      <c r="F166" s="90"/>
      <c r="G166" s="91"/>
      <c r="H166" s="92">
        <f t="shared" si="10"/>
        <v>0</v>
      </c>
      <c r="I166" s="93"/>
      <c r="J166" s="94">
        <f>IF(I166&lt;&gt;"",IF(D166="男",HLOOKUP(I166,各项评分标准!$12:$14,3,1),HLOOKUP(I166,各项评分标准!$13:$14,2,1)),0)</f>
        <v>0</v>
      </c>
      <c r="K166" s="95"/>
      <c r="L166" s="94">
        <f>IF(K166&lt;&gt;"",IF(D166="男",HLOOKUP(K166,各项评分标准!$16:$18,3,1),HLOOKUP(K166,各项评分标准!$17:$18,2,1)),0)</f>
        <v>0</v>
      </c>
      <c r="M166" s="85"/>
      <c r="N166" s="94">
        <f>IF(M166&lt;&gt;"",IF(D166="男",HLOOKUP(M166,各项评分标准!$4:$6,3,1),HLOOKUP(M166,各项评分标准!$5:$6,2,1)),0)</f>
        <v>0</v>
      </c>
      <c r="O166" s="85"/>
      <c r="P166" s="94">
        <f>IF(O166&lt;&gt;"",IF(D166="男",HLOOKUP(O166,各项评分标准!$8:$10,3,1),HLOOKUP(O166,各项评分标准!$9:$10,2,1)),0)</f>
        <v>0</v>
      </c>
      <c r="Q166" s="96">
        <f t="shared" si="8"/>
        <v>0</v>
      </c>
      <c r="R166" s="97">
        <f t="shared" si="9"/>
        <v>0</v>
      </c>
      <c r="S166" s="98"/>
    </row>
    <row r="167" spans="1:21">
      <c r="A167" s="85"/>
      <c r="B167" s="85"/>
      <c r="C167" s="85"/>
      <c r="D167" s="88"/>
      <c r="E167" s="85"/>
      <c r="F167" s="90"/>
      <c r="G167" s="91"/>
      <c r="H167" s="92">
        <f t="shared" si="10"/>
        <v>0</v>
      </c>
      <c r="I167" s="93"/>
      <c r="J167" s="94">
        <f>IF(I167&lt;&gt;"",IF(D167="男",HLOOKUP(I167,各项评分标准!$12:$14,3,1),HLOOKUP(I167,各项评分标准!$13:$14,2,1)),0)</f>
        <v>0</v>
      </c>
      <c r="K167" s="95"/>
      <c r="L167" s="94">
        <f>IF(K167&lt;&gt;"",IF(D167="男",HLOOKUP(K167,各项评分标准!$16:$18,3,1),HLOOKUP(K167,各项评分标准!$17:$18,2,1)),0)</f>
        <v>0</v>
      </c>
      <c r="M167" s="85"/>
      <c r="N167" s="94">
        <f>IF(M167&lt;&gt;"",IF(D167="男",HLOOKUP(M167,各项评分标准!$4:$6,3,1),HLOOKUP(M167,各项评分标准!$5:$6,2,1)),0)</f>
        <v>0</v>
      </c>
      <c r="O167" s="85"/>
      <c r="P167" s="94">
        <f>IF(O167&lt;&gt;"",IF(D167="男",HLOOKUP(O167,各项评分标准!$8:$10,3,1),HLOOKUP(O167,各项评分标准!$9:$10,2,1)),0)</f>
        <v>0</v>
      </c>
      <c r="Q167" s="96">
        <f t="shared" si="8"/>
        <v>0</v>
      </c>
      <c r="R167" s="97">
        <f t="shared" si="9"/>
        <v>0</v>
      </c>
      <c r="S167" s="98"/>
    </row>
    <row r="168" s="61" customFormat="1" spans="1:21">
      <c r="A168" s="85"/>
      <c r="B168" s="85"/>
      <c r="C168" s="85"/>
      <c r="D168" s="88"/>
      <c r="E168" s="85"/>
      <c r="F168" s="90"/>
      <c r="G168" s="91"/>
      <c r="H168" s="92">
        <f t="shared" si="10"/>
        <v>0</v>
      </c>
      <c r="I168" s="93"/>
      <c r="J168" s="94">
        <f>IF(I168&lt;&gt;"",IF(D168="男",HLOOKUP(I168,各项评分标准!$12:$14,3,1),HLOOKUP(I168,各项评分标准!$13:$14,2,1)),0)</f>
        <v>0</v>
      </c>
      <c r="K168" s="95"/>
      <c r="L168" s="94">
        <f>IF(K168&lt;&gt;"",IF(D168="男",HLOOKUP(K168,各项评分标准!$16:$18,3,1),HLOOKUP(K168,各项评分标准!$17:$18,2,1)),0)</f>
        <v>0</v>
      </c>
      <c r="M168" s="85"/>
      <c r="N168" s="94">
        <f>IF(M168&lt;&gt;"",IF(D168="男",HLOOKUP(M168,各项评分标准!$4:$6,3,1),HLOOKUP(M168,各项评分标准!$5:$6,2,1)),0)</f>
        <v>0</v>
      </c>
      <c r="O168" s="85"/>
      <c r="P168" s="94">
        <f>IF(O168&lt;&gt;"",IF(D168="男",HLOOKUP(O168,各项评分标准!$8:$10,3,1),HLOOKUP(O168,各项评分标准!$9:$10,2,1)),0)</f>
        <v>0</v>
      </c>
      <c r="Q168" s="96">
        <f t="shared" si="8"/>
        <v>0</v>
      </c>
      <c r="R168" s="97">
        <f t="shared" si="9"/>
        <v>0</v>
      </c>
      <c r="S168" s="98"/>
      <c r="T168" s="102"/>
      <c r="U168" s="102"/>
    </row>
    <row r="169" spans="1:21">
      <c r="A169" s="85"/>
      <c r="B169" s="85"/>
      <c r="C169" s="85"/>
      <c r="D169" s="88"/>
      <c r="E169" s="85"/>
      <c r="F169" s="90"/>
      <c r="G169" s="91"/>
      <c r="H169" s="92">
        <f t="shared" si="10"/>
        <v>0</v>
      </c>
      <c r="I169" s="93"/>
      <c r="J169" s="94">
        <f>IF(I169&lt;&gt;"",IF(D169="男",HLOOKUP(I169,各项评分标准!$12:$14,3,1),HLOOKUP(I169,各项评分标准!$13:$14,2,1)),0)</f>
        <v>0</v>
      </c>
      <c r="K169" s="95"/>
      <c r="L169" s="94">
        <f>IF(K169&lt;&gt;"",IF(D169="男",HLOOKUP(K169,各项评分标准!$16:$18,3,1),HLOOKUP(K169,各项评分标准!$17:$18,2,1)),0)</f>
        <v>0</v>
      </c>
      <c r="M169" s="85"/>
      <c r="N169" s="94">
        <f>IF(M169&lt;&gt;"",IF(D169="男",HLOOKUP(M169,各项评分标准!$4:$6,3,1),HLOOKUP(M169,各项评分标准!$5:$6,2,1)),0)</f>
        <v>0</v>
      </c>
      <c r="O169" s="85"/>
      <c r="P169" s="94">
        <f>IF(O169&lt;&gt;"",IF(D169="男",HLOOKUP(O169,各项评分标准!$8:$10,3,1),HLOOKUP(O169,各项评分标准!$9:$10,2,1)),0)</f>
        <v>0</v>
      </c>
      <c r="Q169" s="96">
        <f t="shared" si="8"/>
        <v>0</v>
      </c>
      <c r="R169" s="97">
        <f t="shared" si="9"/>
        <v>0</v>
      </c>
      <c r="S169" s="98"/>
    </row>
    <row r="170" spans="1:21">
      <c r="A170" s="85"/>
      <c r="B170" s="85"/>
      <c r="C170" s="85"/>
      <c r="D170" s="88"/>
      <c r="E170" s="85"/>
      <c r="F170" s="90"/>
      <c r="G170" s="91"/>
      <c r="H170" s="92">
        <f t="shared" si="10"/>
        <v>0</v>
      </c>
      <c r="I170" s="93"/>
      <c r="J170" s="94">
        <f>IF(I170&lt;&gt;"",IF(D170="男",HLOOKUP(I170,各项评分标准!$12:$14,3,1),HLOOKUP(I170,各项评分标准!$13:$14,2,1)),0)</f>
        <v>0</v>
      </c>
      <c r="K170" s="95"/>
      <c r="L170" s="94">
        <f>IF(K170&lt;&gt;"",IF(D170="男",HLOOKUP(K170,各项评分标准!$16:$18,3,1),HLOOKUP(K170,各项评分标准!$17:$18,2,1)),0)</f>
        <v>0</v>
      </c>
      <c r="M170" s="85"/>
      <c r="N170" s="94">
        <f>IF(M170&lt;&gt;"",IF(D170="男",HLOOKUP(M170,各项评分标准!$4:$6,3,1),HLOOKUP(M170,各项评分标准!$5:$6,2,1)),0)</f>
        <v>0</v>
      </c>
      <c r="O170" s="85"/>
      <c r="P170" s="94">
        <f>IF(O170&lt;&gt;"",IF(D170="男",HLOOKUP(O170,各项评分标准!$8:$10,3,1),HLOOKUP(O170,各项评分标准!$9:$10,2,1)),0)</f>
        <v>0</v>
      </c>
      <c r="Q170" s="96">
        <f t="shared" si="8"/>
        <v>0</v>
      </c>
      <c r="R170" s="97">
        <f t="shared" si="9"/>
        <v>0</v>
      </c>
      <c r="S170" s="98"/>
    </row>
    <row r="171" spans="1:21">
      <c r="A171" s="85"/>
      <c r="B171" s="85"/>
      <c r="C171" s="85"/>
      <c r="D171" s="88"/>
      <c r="E171" s="85"/>
      <c r="F171" s="90"/>
      <c r="G171" s="91"/>
      <c r="H171" s="92">
        <f t="shared" si="10"/>
        <v>0</v>
      </c>
      <c r="I171" s="93"/>
      <c r="J171" s="94">
        <f>IF(I171&lt;&gt;"",IF(D171="男",HLOOKUP(I171,各项评分标准!$12:$14,3,1),HLOOKUP(I171,各项评分标准!$13:$14,2,1)),0)</f>
        <v>0</v>
      </c>
      <c r="K171" s="95"/>
      <c r="L171" s="94">
        <f>IF(K171&lt;&gt;"",IF(D171="男",HLOOKUP(K171,各项评分标准!$16:$18,3,1),HLOOKUP(K171,各项评分标准!$17:$18,2,1)),0)</f>
        <v>0</v>
      </c>
      <c r="M171" s="85"/>
      <c r="N171" s="94">
        <f>IF(M171&lt;&gt;"",IF(D171="男",HLOOKUP(M171,各项评分标准!$4:$6,3,1),HLOOKUP(M171,各项评分标准!$5:$6,2,1)),0)</f>
        <v>0</v>
      </c>
      <c r="O171" s="85"/>
      <c r="P171" s="94">
        <f>IF(O171&lt;&gt;"",IF(D171="男",HLOOKUP(O171,各项评分标准!$8:$10,3,1),HLOOKUP(O171,各项评分标准!$9:$10,2,1)),0)</f>
        <v>0</v>
      </c>
      <c r="Q171" s="96">
        <f t="shared" si="8"/>
        <v>0</v>
      </c>
      <c r="R171" s="97">
        <f t="shared" si="9"/>
        <v>0</v>
      </c>
      <c r="S171" s="98"/>
    </row>
    <row r="172" spans="1:21">
      <c r="A172" s="85"/>
      <c r="B172" s="85"/>
      <c r="C172" s="85"/>
      <c r="D172" s="88"/>
      <c r="E172" s="85"/>
      <c r="F172" s="90"/>
      <c r="G172" s="91"/>
      <c r="H172" s="92">
        <f t="shared" si="10"/>
        <v>0</v>
      </c>
      <c r="I172" s="93"/>
      <c r="J172" s="94">
        <f>IF(I172&lt;&gt;"",IF(D172="男",HLOOKUP(I172,各项评分标准!$12:$14,3,1),HLOOKUP(I172,各项评分标准!$13:$14,2,1)),0)</f>
        <v>0</v>
      </c>
      <c r="K172" s="95"/>
      <c r="L172" s="94">
        <f>IF(K172&lt;&gt;"",IF(D172="男",HLOOKUP(K172,各项评分标准!$16:$18,3,1),HLOOKUP(K172,各项评分标准!$17:$18,2,1)),0)</f>
        <v>0</v>
      </c>
      <c r="M172" s="85"/>
      <c r="N172" s="94">
        <f>IF(M172&lt;&gt;"",IF(D172="男",HLOOKUP(M172,各项评分标准!$4:$6,3,1),HLOOKUP(M172,各项评分标准!$5:$6,2,1)),0)</f>
        <v>0</v>
      </c>
      <c r="O172" s="85"/>
      <c r="P172" s="94">
        <f>IF(O172&lt;&gt;"",IF(D172="男",HLOOKUP(O172,各项评分标准!$8:$10,3,1),HLOOKUP(O172,各项评分标准!$9:$10,2,1)),0)</f>
        <v>0</v>
      </c>
      <c r="Q172" s="96">
        <f t="shared" si="8"/>
        <v>0</v>
      </c>
      <c r="R172" s="97">
        <f t="shared" si="9"/>
        <v>0</v>
      </c>
      <c r="S172" s="98"/>
    </row>
    <row r="173" spans="1:21">
      <c r="A173" s="85"/>
      <c r="B173" s="85"/>
      <c r="C173" s="85"/>
      <c r="D173" s="88"/>
      <c r="E173" s="85"/>
      <c r="F173" s="90"/>
      <c r="G173" s="91"/>
      <c r="H173" s="92">
        <f t="shared" si="10"/>
        <v>0</v>
      </c>
      <c r="I173" s="93"/>
      <c r="J173" s="94">
        <f>IF(I173&lt;&gt;"",IF(D173="男",HLOOKUP(I173,各项评分标准!$12:$14,3,1),HLOOKUP(I173,各项评分标准!$13:$14,2,1)),0)</f>
        <v>0</v>
      </c>
      <c r="K173" s="95"/>
      <c r="L173" s="94">
        <f>IF(K173&lt;&gt;"",IF(D173="男",HLOOKUP(K173,各项评分标准!$16:$18,3,1),HLOOKUP(K173,各项评分标准!$17:$18,2,1)),0)</f>
        <v>0</v>
      </c>
      <c r="M173" s="85"/>
      <c r="N173" s="94">
        <f>IF(M173&lt;&gt;"",IF(D173="男",HLOOKUP(M173,各项评分标准!$4:$6,3,1),HLOOKUP(M173,各项评分标准!$5:$6,2,1)),0)</f>
        <v>0</v>
      </c>
      <c r="O173" s="85"/>
      <c r="P173" s="94">
        <f>IF(O173&lt;&gt;"",IF(D173="男",HLOOKUP(O173,各项评分标准!$8:$10,3,1),HLOOKUP(O173,各项评分标准!$9:$10,2,1)),0)</f>
        <v>0</v>
      </c>
      <c r="Q173" s="96">
        <f t="shared" si="8"/>
        <v>0</v>
      </c>
      <c r="R173" s="97">
        <f t="shared" si="9"/>
        <v>0</v>
      </c>
      <c r="S173" s="98"/>
    </row>
    <row r="174" spans="1:21">
      <c r="A174" s="85"/>
      <c r="B174" s="85"/>
      <c r="C174" s="85"/>
      <c r="D174" s="88"/>
      <c r="E174" s="85"/>
      <c r="F174" s="90"/>
      <c r="G174" s="91"/>
      <c r="H174" s="92">
        <f t="shared" si="10"/>
        <v>0</v>
      </c>
      <c r="I174" s="93"/>
      <c r="J174" s="94">
        <f>IF(I174&lt;&gt;"",IF(D174="男",HLOOKUP(I174,各项评分标准!$12:$14,3,1),HLOOKUP(I174,各项评分标准!$13:$14,2,1)),0)</f>
        <v>0</v>
      </c>
      <c r="K174" s="95"/>
      <c r="L174" s="94">
        <f>IF(K174&lt;&gt;"",IF(D174="男",HLOOKUP(K174,各项评分标准!$16:$18,3,1),HLOOKUP(K174,各项评分标准!$17:$18,2,1)),0)</f>
        <v>0</v>
      </c>
      <c r="M174" s="85"/>
      <c r="N174" s="94">
        <f>IF(M174&lt;&gt;"",IF(D174="男",HLOOKUP(M174,各项评分标准!$4:$6,3,1),HLOOKUP(M174,各项评分标准!$5:$6,2,1)),0)</f>
        <v>0</v>
      </c>
      <c r="O174" s="85"/>
      <c r="P174" s="94">
        <f>IF(O174&lt;&gt;"",IF(D174="男",HLOOKUP(O174,各项评分标准!$8:$10,3,1),HLOOKUP(O174,各项评分标准!$9:$10,2,1)),0)</f>
        <v>0</v>
      </c>
      <c r="Q174" s="96">
        <f t="shared" si="8"/>
        <v>0</v>
      </c>
      <c r="R174" s="97">
        <f t="shared" si="9"/>
        <v>0</v>
      </c>
      <c r="S174" s="98"/>
    </row>
    <row r="175" spans="1:21">
      <c r="A175" s="85"/>
      <c r="B175" s="85"/>
      <c r="C175" s="85"/>
      <c r="D175" s="88"/>
      <c r="E175" s="85"/>
      <c r="F175" s="90"/>
      <c r="G175" s="91"/>
      <c r="H175" s="92">
        <f t="shared" si="10"/>
        <v>0</v>
      </c>
      <c r="I175" s="93"/>
      <c r="J175" s="94">
        <f>IF(I175&lt;&gt;"",IF(D175="男",HLOOKUP(I175,各项评分标准!$12:$14,3,1),HLOOKUP(I175,各项评分标准!$13:$14,2,1)),0)</f>
        <v>0</v>
      </c>
      <c r="K175" s="95"/>
      <c r="L175" s="94">
        <f>IF(K175&lt;&gt;"",IF(D175="男",HLOOKUP(K175,各项评分标准!$16:$18,3,1),HLOOKUP(K175,各项评分标准!$17:$18,2,1)),0)</f>
        <v>0</v>
      </c>
      <c r="M175" s="85"/>
      <c r="N175" s="94">
        <f>IF(M175&lt;&gt;"",IF(D175="男",HLOOKUP(M175,各项评分标准!$4:$6,3,1),HLOOKUP(M175,各项评分标准!$5:$6,2,1)),0)</f>
        <v>0</v>
      </c>
      <c r="O175" s="85"/>
      <c r="P175" s="94">
        <f>IF(O175&lt;&gt;"",IF(D175="男",HLOOKUP(O175,各项评分标准!$8:$10,3,1),HLOOKUP(O175,各项评分标准!$9:$10,2,1)),0)</f>
        <v>0</v>
      </c>
      <c r="Q175" s="96">
        <f t="shared" si="8"/>
        <v>0</v>
      </c>
      <c r="R175" s="97">
        <f t="shared" si="9"/>
        <v>0</v>
      </c>
      <c r="S175" s="98"/>
    </row>
    <row r="176" spans="1:21">
      <c r="A176" s="85"/>
      <c r="B176" s="85"/>
      <c r="C176" s="85"/>
      <c r="D176" s="88"/>
      <c r="E176" s="85"/>
      <c r="F176" s="90"/>
      <c r="G176" s="91"/>
      <c r="H176" s="92">
        <f t="shared" si="10"/>
        <v>0</v>
      </c>
      <c r="I176" s="93"/>
      <c r="J176" s="94">
        <f>IF(I176&lt;&gt;"",IF(D176="男",HLOOKUP(I176,各项评分标准!$12:$14,3,1),HLOOKUP(I176,各项评分标准!$13:$14,2,1)),0)</f>
        <v>0</v>
      </c>
      <c r="K176" s="95"/>
      <c r="L176" s="94">
        <f>IF(K176&lt;&gt;"",IF(D176="男",HLOOKUP(K176,各项评分标准!$16:$18,3,1),HLOOKUP(K176,各项评分标准!$17:$18,2,1)),0)</f>
        <v>0</v>
      </c>
      <c r="M176" s="85"/>
      <c r="N176" s="94">
        <f>IF(M176&lt;&gt;"",IF(D176="男",HLOOKUP(M176,各项评分标准!$4:$6,3,1),HLOOKUP(M176,各项评分标准!$5:$6,2,1)),0)</f>
        <v>0</v>
      </c>
      <c r="O176" s="85"/>
      <c r="P176" s="94">
        <f>IF(O176&lt;&gt;"",IF(D176="男",HLOOKUP(O176,各项评分标准!$8:$10,3,1),HLOOKUP(O176,各项评分标准!$9:$10,2,1)),0)</f>
        <v>0</v>
      </c>
      <c r="Q176" s="96">
        <f t="shared" si="8"/>
        <v>0</v>
      </c>
      <c r="R176" s="97">
        <f t="shared" si="9"/>
        <v>0</v>
      </c>
      <c r="S176" s="98"/>
    </row>
    <row r="177" spans="1:19">
      <c r="A177" s="85"/>
      <c r="B177" s="85"/>
      <c r="C177" s="85"/>
      <c r="D177" s="88"/>
      <c r="E177" s="85"/>
      <c r="F177" s="90"/>
      <c r="G177" s="91"/>
      <c r="H177" s="92">
        <f t="shared" si="10"/>
        <v>0</v>
      </c>
      <c r="I177" s="93"/>
      <c r="J177" s="94">
        <f>IF(I177&lt;&gt;"",IF(D177="男",HLOOKUP(I177,各项评分标准!$12:$14,3,1),HLOOKUP(I177,各项评分标准!$13:$14,2,1)),0)</f>
        <v>0</v>
      </c>
      <c r="K177" s="95"/>
      <c r="L177" s="94">
        <f>IF(K177&lt;&gt;"",IF(D177="男",HLOOKUP(K177,各项评分标准!$16:$18,3,1),HLOOKUP(K177,各项评分标准!$17:$18,2,1)),0)</f>
        <v>0</v>
      </c>
      <c r="M177" s="85"/>
      <c r="N177" s="94">
        <f>IF(M177&lt;&gt;"",IF(D177="男",HLOOKUP(M177,各项评分标准!$4:$6,3,1),HLOOKUP(M177,各项评分标准!$5:$6,2,1)),0)</f>
        <v>0</v>
      </c>
      <c r="O177" s="85"/>
      <c r="P177" s="94">
        <f>IF(O177&lt;&gt;"",IF(D177="男",HLOOKUP(O177,各项评分标准!$8:$10,3,1),HLOOKUP(O177,各项评分标准!$9:$10,2,1)),0)</f>
        <v>0</v>
      </c>
      <c r="Q177" s="96">
        <f t="shared" si="8"/>
        <v>0</v>
      </c>
      <c r="R177" s="97">
        <f t="shared" si="9"/>
        <v>0</v>
      </c>
      <c r="S177" s="98"/>
    </row>
    <row r="178" spans="1:19">
      <c r="A178" s="85"/>
      <c r="B178" s="85"/>
      <c r="C178" s="85"/>
      <c r="D178" s="88"/>
      <c r="E178" s="85"/>
      <c r="F178" s="90"/>
      <c r="G178" s="91"/>
      <c r="H178" s="92">
        <f t="shared" si="10"/>
        <v>0</v>
      </c>
      <c r="I178" s="93"/>
      <c r="J178" s="94">
        <f>IF(I178&lt;&gt;"",IF(D178="男",HLOOKUP(I178,各项评分标准!$12:$14,3,1),HLOOKUP(I178,各项评分标准!$13:$14,2,1)),0)</f>
        <v>0</v>
      </c>
      <c r="K178" s="95"/>
      <c r="L178" s="94">
        <f>IF(K178&lt;&gt;"",IF(D178="男",HLOOKUP(K178,各项评分标准!$16:$18,3,1),HLOOKUP(K178,各项评分标准!$17:$18,2,1)),0)</f>
        <v>0</v>
      </c>
      <c r="M178" s="85"/>
      <c r="N178" s="94">
        <f>IF(M178&lt;&gt;"",IF(D178="男",HLOOKUP(M178,各项评分标准!$4:$6,3,1),HLOOKUP(M178,各项评分标准!$5:$6,2,1)),0)</f>
        <v>0</v>
      </c>
      <c r="O178" s="85"/>
      <c r="P178" s="94">
        <f>IF(O178&lt;&gt;"",IF(D178="男",HLOOKUP(O178,各项评分标准!$8:$10,3,1),HLOOKUP(O178,各项评分标准!$9:$10,2,1)),0)</f>
        <v>0</v>
      </c>
      <c r="Q178" s="96">
        <f t="shared" si="8"/>
        <v>0</v>
      </c>
      <c r="R178" s="97">
        <f t="shared" si="9"/>
        <v>0</v>
      </c>
      <c r="S178" s="98"/>
    </row>
    <row r="179" spans="1:19">
      <c r="A179" s="85"/>
      <c r="B179" s="85"/>
      <c r="C179" s="85"/>
      <c r="D179" s="88"/>
      <c r="E179" s="85"/>
      <c r="F179" s="90"/>
      <c r="G179" s="91"/>
      <c r="H179" s="92">
        <f t="shared" si="10"/>
        <v>0</v>
      </c>
      <c r="I179" s="93"/>
      <c r="J179" s="94">
        <f>IF(I179&lt;&gt;"",IF(D179="男",HLOOKUP(I179,各项评分标准!$12:$14,3,1),HLOOKUP(I179,各项评分标准!$13:$14,2,1)),0)</f>
        <v>0</v>
      </c>
      <c r="K179" s="95"/>
      <c r="L179" s="94">
        <f>IF(K179&lt;&gt;"",IF(D179="男",HLOOKUP(K179,各项评分标准!$16:$18,3,1),HLOOKUP(K179,各项评分标准!$17:$18,2,1)),0)</f>
        <v>0</v>
      </c>
      <c r="M179" s="85"/>
      <c r="N179" s="94">
        <f>IF(M179&lt;&gt;"",IF(D179="男",HLOOKUP(M179,各项评分标准!$4:$6,3,1),HLOOKUP(M179,各项评分标准!$5:$6,2,1)),0)</f>
        <v>0</v>
      </c>
      <c r="O179" s="85"/>
      <c r="P179" s="94">
        <f>IF(O179&lt;&gt;"",IF(D179="男",HLOOKUP(O179,各项评分标准!$8:$10,3,1),HLOOKUP(O179,各项评分标准!$9:$10,2,1)),0)</f>
        <v>0</v>
      </c>
      <c r="Q179" s="96">
        <f t="shared" si="8"/>
        <v>0</v>
      </c>
      <c r="R179" s="97">
        <f t="shared" si="9"/>
        <v>0</v>
      </c>
      <c r="S179" s="98"/>
    </row>
    <row r="180" spans="1:19">
      <c r="A180" s="85"/>
      <c r="B180" s="85"/>
      <c r="C180" s="85"/>
      <c r="D180" s="88"/>
      <c r="E180" s="85"/>
      <c r="F180" s="90"/>
      <c r="G180" s="91"/>
      <c r="H180" s="92">
        <f t="shared" si="10"/>
        <v>0</v>
      </c>
      <c r="I180" s="93"/>
      <c r="J180" s="94">
        <f>IF(I180&lt;&gt;"",IF(D180="男",HLOOKUP(I180,各项评分标准!$12:$14,3,1),HLOOKUP(I180,各项评分标准!$13:$14,2,1)),0)</f>
        <v>0</v>
      </c>
      <c r="K180" s="95"/>
      <c r="L180" s="94">
        <f>IF(K180&lt;&gt;"",IF(D180="男",HLOOKUP(K180,各项评分标准!$16:$18,3,1),HLOOKUP(K180,各项评分标准!$17:$18,2,1)),0)</f>
        <v>0</v>
      </c>
      <c r="M180" s="85"/>
      <c r="N180" s="94">
        <f>IF(M180&lt;&gt;"",IF(D180="男",HLOOKUP(M180,各项评分标准!$4:$6,3,1),HLOOKUP(M180,各项评分标准!$5:$6,2,1)),0)</f>
        <v>0</v>
      </c>
      <c r="O180" s="85"/>
      <c r="P180" s="94">
        <f>IF(O180&lt;&gt;"",IF(D180="男",HLOOKUP(O180,各项评分标准!$8:$10,3,1),HLOOKUP(O180,各项评分标准!$9:$10,2,1)),0)</f>
        <v>0</v>
      </c>
      <c r="Q180" s="96">
        <f t="shared" si="8"/>
        <v>0</v>
      </c>
      <c r="R180" s="97">
        <f t="shared" si="9"/>
        <v>0</v>
      </c>
      <c r="S180" s="98"/>
    </row>
    <row r="181" spans="1:19">
      <c r="A181" s="85"/>
      <c r="B181" s="85"/>
      <c r="C181" s="85"/>
      <c r="D181" s="88"/>
      <c r="E181" s="85"/>
      <c r="F181" s="90"/>
      <c r="G181" s="91"/>
      <c r="H181" s="92">
        <f t="shared" si="10"/>
        <v>0</v>
      </c>
      <c r="I181" s="93"/>
      <c r="J181" s="94">
        <f>IF(I181&lt;&gt;"",IF(D181="男",HLOOKUP(I181,各项评分标准!$12:$14,3,1),HLOOKUP(I181,各项评分标准!$13:$14,2,1)),0)</f>
        <v>0</v>
      </c>
      <c r="K181" s="95"/>
      <c r="L181" s="94">
        <f>IF(K181&lt;&gt;"",IF(D181="男",HLOOKUP(K181,各项评分标准!$16:$18,3,1),HLOOKUP(K181,各项评分标准!$17:$18,2,1)),0)</f>
        <v>0</v>
      </c>
      <c r="M181" s="85"/>
      <c r="N181" s="94">
        <f>IF(M181&lt;&gt;"",IF(D181="男",HLOOKUP(M181,各项评分标准!$4:$6,3,1),HLOOKUP(M181,各项评分标准!$5:$6,2,1)),0)</f>
        <v>0</v>
      </c>
      <c r="O181" s="85"/>
      <c r="P181" s="94">
        <f>IF(O181&lt;&gt;"",IF(D181="男",HLOOKUP(O181,各项评分标准!$8:$10,3,1),HLOOKUP(O181,各项评分标准!$9:$10,2,1)),0)</f>
        <v>0</v>
      </c>
      <c r="Q181" s="96">
        <f t="shared" si="8"/>
        <v>0</v>
      </c>
      <c r="R181" s="97">
        <f t="shared" si="9"/>
        <v>0</v>
      </c>
      <c r="S181" s="98"/>
    </row>
    <row r="182" spans="1:19">
      <c r="A182" s="85"/>
      <c r="B182" s="85"/>
      <c r="C182" s="85"/>
      <c r="D182" s="88"/>
      <c r="E182" s="85"/>
      <c r="F182" s="90"/>
      <c r="G182" s="91"/>
      <c r="H182" s="92">
        <f t="shared" si="10"/>
        <v>0</v>
      </c>
      <c r="I182" s="93"/>
      <c r="J182" s="94">
        <f>IF(I182&lt;&gt;"",IF(D182="男",HLOOKUP(I182,各项评分标准!$12:$14,3,1),HLOOKUP(I182,各项评分标准!$13:$14,2,1)),0)</f>
        <v>0</v>
      </c>
      <c r="K182" s="95"/>
      <c r="L182" s="94">
        <f>IF(K182&lt;&gt;"",IF(D182="男",HLOOKUP(K182,各项评分标准!$16:$18,3,1),HLOOKUP(K182,各项评分标准!$17:$18,2,1)),0)</f>
        <v>0</v>
      </c>
      <c r="M182" s="85"/>
      <c r="N182" s="94">
        <f>IF(M182&lt;&gt;"",IF(D182="男",HLOOKUP(M182,各项评分标准!$4:$6,3,1),HLOOKUP(M182,各项评分标准!$5:$6,2,1)),0)</f>
        <v>0</v>
      </c>
      <c r="O182" s="85"/>
      <c r="P182" s="94">
        <f>IF(O182&lt;&gt;"",IF(D182="男",HLOOKUP(O182,各项评分标准!$8:$10,3,1),HLOOKUP(O182,各项评分标准!$9:$10,2,1)),0)</f>
        <v>0</v>
      </c>
      <c r="Q182" s="96">
        <f t="shared" si="8"/>
        <v>0</v>
      </c>
      <c r="R182" s="97">
        <f t="shared" si="9"/>
        <v>0</v>
      </c>
      <c r="S182" s="98"/>
    </row>
    <row r="183" spans="1:19">
      <c r="A183" s="85"/>
      <c r="B183" s="85"/>
      <c r="C183" s="85"/>
      <c r="D183" s="88"/>
      <c r="E183" s="85"/>
      <c r="F183" s="90"/>
      <c r="G183" s="91"/>
      <c r="H183" s="92">
        <f t="shared" si="10"/>
        <v>0</v>
      </c>
      <c r="I183" s="93"/>
      <c r="J183" s="94">
        <f>IF(I183&lt;&gt;"",IF(D183="男",HLOOKUP(I183,各项评分标准!$12:$14,3,1),HLOOKUP(I183,各项评分标准!$13:$14,2,1)),0)</f>
        <v>0</v>
      </c>
      <c r="K183" s="95"/>
      <c r="L183" s="94">
        <f>IF(K183&lt;&gt;"",IF(D183="男",HLOOKUP(K183,各项评分标准!$16:$18,3,1),HLOOKUP(K183,各项评分标准!$17:$18,2,1)),0)</f>
        <v>0</v>
      </c>
      <c r="M183" s="85"/>
      <c r="N183" s="94">
        <f>IF(M183&lt;&gt;"",IF(D183="男",HLOOKUP(M183,各项评分标准!$4:$6,3,1),HLOOKUP(M183,各项评分标准!$5:$6,2,1)),0)</f>
        <v>0</v>
      </c>
      <c r="O183" s="85"/>
      <c r="P183" s="94">
        <f>IF(O183&lt;&gt;"",IF(D183="男",HLOOKUP(O183,各项评分标准!$8:$10,3,1),HLOOKUP(O183,各项评分标准!$9:$10,2,1)),0)</f>
        <v>0</v>
      </c>
      <c r="Q183" s="96">
        <f t="shared" si="8"/>
        <v>0</v>
      </c>
      <c r="R183" s="97">
        <f t="shared" si="9"/>
        <v>0</v>
      </c>
      <c r="S183" s="98"/>
    </row>
    <row r="184" spans="1:19">
      <c r="A184" s="85"/>
      <c r="B184" s="85"/>
      <c r="C184" s="85"/>
      <c r="D184" s="88"/>
      <c r="E184" s="85"/>
      <c r="F184" s="90"/>
      <c r="G184" s="91"/>
      <c r="H184" s="92">
        <f t="shared" si="10"/>
        <v>0</v>
      </c>
      <c r="I184" s="93"/>
      <c r="J184" s="94">
        <f>IF(I184&lt;&gt;"",IF(D184="男",HLOOKUP(I184,各项评分标准!$12:$14,3,1),HLOOKUP(I184,各项评分标准!$13:$14,2,1)),0)</f>
        <v>0</v>
      </c>
      <c r="K184" s="95"/>
      <c r="L184" s="94">
        <f>IF(K184&lt;&gt;"",IF(D184="男",HLOOKUP(K184,各项评分标准!$16:$18,3,1),HLOOKUP(K184,各项评分标准!$17:$18,2,1)),0)</f>
        <v>0</v>
      </c>
      <c r="M184" s="85"/>
      <c r="N184" s="94">
        <f>IF(M184&lt;&gt;"",IF(D184="男",HLOOKUP(M184,各项评分标准!$4:$6,3,1),HLOOKUP(M184,各项评分标准!$5:$6,2,1)),0)</f>
        <v>0</v>
      </c>
      <c r="O184" s="85"/>
      <c r="P184" s="94">
        <f>IF(O184&lt;&gt;"",IF(D184="男",HLOOKUP(O184,各项评分标准!$8:$10,3,1),HLOOKUP(O184,各项评分标准!$9:$10,2,1)),0)</f>
        <v>0</v>
      </c>
      <c r="Q184" s="96">
        <f t="shared" si="8"/>
        <v>0</v>
      </c>
      <c r="R184" s="97">
        <f t="shared" si="9"/>
        <v>0</v>
      </c>
      <c r="S184" s="98"/>
    </row>
    <row r="185" spans="1:19">
      <c r="A185" s="85"/>
      <c r="B185" s="85"/>
      <c r="C185" s="85"/>
      <c r="D185" s="88"/>
      <c r="E185" s="85"/>
      <c r="F185" s="90"/>
      <c r="G185" s="91"/>
      <c r="H185" s="92">
        <f t="shared" si="10"/>
        <v>0</v>
      </c>
      <c r="I185" s="93"/>
      <c r="J185" s="94">
        <f>IF(I185&lt;&gt;"",IF(D185="男",HLOOKUP(I185,各项评分标准!$12:$14,3,1),HLOOKUP(I185,各项评分标准!$13:$14,2,1)),0)</f>
        <v>0</v>
      </c>
      <c r="K185" s="95"/>
      <c r="L185" s="94">
        <f>IF(K185&lt;&gt;"",IF(D185="男",HLOOKUP(K185,各项评分标准!$16:$18,3,1),HLOOKUP(K185,各项评分标准!$17:$18,2,1)),0)</f>
        <v>0</v>
      </c>
      <c r="M185" s="85"/>
      <c r="N185" s="94">
        <f>IF(M185&lt;&gt;"",IF(D185="男",HLOOKUP(M185,各项评分标准!$4:$6,3,1),HLOOKUP(M185,各项评分标准!$5:$6,2,1)),0)</f>
        <v>0</v>
      </c>
      <c r="O185" s="85"/>
      <c r="P185" s="94">
        <f>IF(O185&lt;&gt;"",IF(D185="男",HLOOKUP(O185,各项评分标准!$8:$10,3,1),HLOOKUP(O185,各项评分标准!$9:$10,2,1)),0)</f>
        <v>0</v>
      </c>
      <c r="Q185" s="96">
        <f t="shared" si="8"/>
        <v>0</v>
      </c>
      <c r="R185" s="97">
        <f t="shared" si="9"/>
        <v>0</v>
      </c>
      <c r="S185" s="98"/>
    </row>
    <row r="186" spans="1:19">
      <c r="A186" s="85"/>
      <c r="B186" s="85"/>
      <c r="C186" s="85"/>
      <c r="D186" s="88"/>
      <c r="E186" s="85"/>
      <c r="F186" s="90"/>
      <c r="G186" s="91"/>
      <c r="H186" s="92">
        <f t="shared" si="10"/>
        <v>0</v>
      </c>
      <c r="I186" s="93"/>
      <c r="J186" s="94">
        <f>IF(I186&lt;&gt;"",IF(D186="男",HLOOKUP(I186,各项评分标准!$12:$14,3,1),HLOOKUP(I186,各项评分标准!$13:$14,2,1)),0)</f>
        <v>0</v>
      </c>
      <c r="K186" s="95"/>
      <c r="L186" s="94">
        <f>IF(K186&lt;&gt;"",IF(D186="男",HLOOKUP(K186,各项评分标准!$16:$18,3,1),HLOOKUP(K186,各项评分标准!$17:$18,2,1)),0)</f>
        <v>0</v>
      </c>
      <c r="M186" s="85"/>
      <c r="N186" s="94">
        <f>IF(M186&lt;&gt;"",IF(D186="男",HLOOKUP(M186,各项评分标准!$4:$6,3,1),HLOOKUP(M186,各项评分标准!$5:$6,2,1)),0)</f>
        <v>0</v>
      </c>
      <c r="O186" s="85"/>
      <c r="P186" s="94">
        <f>IF(O186&lt;&gt;"",IF(D186="男",HLOOKUP(O186,各项评分标准!$8:$10,3,1),HLOOKUP(O186,各项评分标准!$9:$10,2,1)),0)</f>
        <v>0</v>
      </c>
      <c r="Q186" s="96">
        <f t="shared" si="8"/>
        <v>0</v>
      </c>
      <c r="R186" s="97">
        <f t="shared" si="9"/>
        <v>0</v>
      </c>
      <c r="S186" s="98"/>
    </row>
    <row r="187" spans="1:19">
      <c r="A187" s="85"/>
      <c r="B187" s="85"/>
      <c r="C187" s="85"/>
      <c r="D187" s="88"/>
      <c r="E187" s="85"/>
      <c r="F187" s="90"/>
      <c r="G187" s="91"/>
      <c r="H187" s="92">
        <f t="shared" si="10"/>
        <v>0</v>
      </c>
      <c r="I187" s="93"/>
      <c r="J187" s="94">
        <f>IF(I187&lt;&gt;"",IF(D187="男",HLOOKUP(I187,各项评分标准!$12:$14,3,1),HLOOKUP(I187,各项评分标准!$13:$14,2,1)),0)</f>
        <v>0</v>
      </c>
      <c r="K187" s="95"/>
      <c r="L187" s="94">
        <f>IF(K187&lt;&gt;"",IF(D187="男",HLOOKUP(K187,各项评分标准!$16:$18,3,1),HLOOKUP(K187,各项评分标准!$17:$18,2,1)),0)</f>
        <v>0</v>
      </c>
      <c r="M187" s="85"/>
      <c r="N187" s="94">
        <f>IF(M187&lt;&gt;"",IF(D187="男",HLOOKUP(M187,各项评分标准!$4:$6,3,1),HLOOKUP(M187,各项评分标准!$5:$6,2,1)),0)</f>
        <v>0</v>
      </c>
      <c r="O187" s="85"/>
      <c r="P187" s="94">
        <f>IF(O187&lt;&gt;"",IF(D187="男",HLOOKUP(O187,各项评分标准!$8:$10,3,1),HLOOKUP(O187,各项评分标准!$9:$10,2,1)),0)</f>
        <v>0</v>
      </c>
      <c r="Q187" s="96">
        <f t="shared" si="8"/>
        <v>0</v>
      </c>
      <c r="R187" s="97">
        <f t="shared" si="9"/>
        <v>0</v>
      </c>
      <c r="S187" s="98"/>
    </row>
    <row r="188" spans="1:19">
      <c r="A188" s="85"/>
      <c r="B188" s="85"/>
      <c r="C188" s="85"/>
      <c r="D188" s="88"/>
      <c r="E188" s="85"/>
      <c r="F188" s="90"/>
      <c r="G188" s="91"/>
      <c r="H188" s="92">
        <f t="shared" si="10"/>
        <v>0</v>
      </c>
      <c r="I188" s="93"/>
      <c r="J188" s="94">
        <f>IF(I188&lt;&gt;"",IF(D188="男",HLOOKUP(I188,各项评分标准!$12:$14,3,1),HLOOKUP(I188,各项评分标准!$13:$14,2,1)),0)</f>
        <v>0</v>
      </c>
      <c r="K188" s="95"/>
      <c r="L188" s="94">
        <f>IF(K188&lt;&gt;"",IF(D188="男",HLOOKUP(K188,各项评分标准!$16:$18,3,1),HLOOKUP(K188,各项评分标准!$17:$18,2,1)),0)</f>
        <v>0</v>
      </c>
      <c r="M188" s="85"/>
      <c r="N188" s="94">
        <f>IF(M188&lt;&gt;"",IF(D188="男",HLOOKUP(M188,各项评分标准!$4:$6,3,1),HLOOKUP(M188,各项评分标准!$5:$6,2,1)),0)</f>
        <v>0</v>
      </c>
      <c r="O188" s="85"/>
      <c r="P188" s="94">
        <f>IF(O188&lt;&gt;"",IF(D188="男",HLOOKUP(O188,各项评分标准!$8:$10,3,1),HLOOKUP(O188,各项评分标准!$9:$10,2,1)),0)</f>
        <v>0</v>
      </c>
      <c r="Q188" s="96">
        <f t="shared" si="8"/>
        <v>0</v>
      </c>
      <c r="R188" s="97">
        <f t="shared" si="9"/>
        <v>0</v>
      </c>
      <c r="S188" s="98"/>
    </row>
    <row r="189" spans="1:19">
      <c r="A189" s="85"/>
      <c r="B189" s="85"/>
      <c r="C189" s="85"/>
      <c r="D189" s="88"/>
      <c r="E189" s="85"/>
      <c r="F189" s="90"/>
      <c r="G189" s="91"/>
      <c r="H189" s="92">
        <f t="shared" si="10"/>
        <v>0</v>
      </c>
      <c r="I189" s="93"/>
      <c r="J189" s="94">
        <f>IF(I189&lt;&gt;"",IF(D189="男",HLOOKUP(I189,各项评分标准!$12:$14,3,1),HLOOKUP(I189,各项评分标准!$13:$14,2,1)),0)</f>
        <v>0</v>
      </c>
      <c r="K189" s="95"/>
      <c r="L189" s="94">
        <f>IF(K189&lt;&gt;"",IF(D189="男",HLOOKUP(K189,各项评分标准!$16:$18,3,1),HLOOKUP(K189,各项评分标准!$17:$18,2,1)),0)</f>
        <v>0</v>
      </c>
      <c r="M189" s="85"/>
      <c r="N189" s="94">
        <f>IF(M189&lt;&gt;"",IF(D189="男",HLOOKUP(M189,各项评分标准!$4:$6,3,1),HLOOKUP(M189,各项评分标准!$5:$6,2,1)),0)</f>
        <v>0</v>
      </c>
      <c r="O189" s="85"/>
      <c r="P189" s="94">
        <f>IF(O189&lt;&gt;"",IF(D189="男",HLOOKUP(O189,各项评分标准!$8:$10,3,1),HLOOKUP(O189,各项评分标准!$9:$10,2,1)),0)</f>
        <v>0</v>
      </c>
      <c r="Q189" s="96">
        <f t="shared" si="8"/>
        <v>0</v>
      </c>
      <c r="R189" s="97">
        <f t="shared" si="9"/>
        <v>0</v>
      </c>
      <c r="S189" s="98"/>
    </row>
    <row r="190" spans="1:19">
      <c r="A190" s="85"/>
      <c r="B190" s="85"/>
      <c r="C190" s="85"/>
      <c r="D190" s="88"/>
      <c r="E190" s="85"/>
      <c r="F190" s="90"/>
      <c r="G190" s="91"/>
      <c r="H190" s="92">
        <f t="shared" si="10"/>
        <v>0</v>
      </c>
      <c r="I190" s="93"/>
      <c r="J190" s="94">
        <f>IF(I190&lt;&gt;"",IF(D190="男",HLOOKUP(I190,各项评分标准!$12:$14,3,1),HLOOKUP(I190,各项评分标准!$13:$14,2,1)),0)</f>
        <v>0</v>
      </c>
      <c r="K190" s="95"/>
      <c r="L190" s="94">
        <f>IF(K190&lt;&gt;"",IF(D190="男",HLOOKUP(K190,各项评分标准!$16:$18,3,1),HLOOKUP(K190,各项评分标准!$17:$18,2,1)),0)</f>
        <v>0</v>
      </c>
      <c r="M190" s="85"/>
      <c r="N190" s="94">
        <f>IF(M190&lt;&gt;"",IF(D190="男",HLOOKUP(M190,各项评分标准!$4:$6,3,1),HLOOKUP(M190,各项评分标准!$5:$6,2,1)),0)</f>
        <v>0</v>
      </c>
      <c r="O190" s="85"/>
      <c r="P190" s="94">
        <f>IF(O190&lt;&gt;"",IF(D190="男",HLOOKUP(O190,各项评分标准!$8:$10,3,1),HLOOKUP(O190,各项评分标准!$9:$10,2,1)),0)</f>
        <v>0</v>
      </c>
      <c r="Q190" s="96">
        <f t="shared" si="8"/>
        <v>0</v>
      </c>
      <c r="R190" s="97">
        <f t="shared" si="9"/>
        <v>0</v>
      </c>
      <c r="S190" s="98"/>
    </row>
    <row r="191" spans="1:19">
      <c r="A191" s="85"/>
      <c r="B191" s="85"/>
      <c r="C191" s="85"/>
      <c r="D191" s="88"/>
      <c r="E191" s="85"/>
      <c r="F191" s="90"/>
      <c r="G191" s="91"/>
      <c r="H191" s="92">
        <f t="shared" si="10"/>
        <v>0</v>
      </c>
      <c r="I191" s="93"/>
      <c r="J191" s="94">
        <f>IF(I191&lt;&gt;"",IF(D191="男",HLOOKUP(I191,各项评分标准!$12:$14,3,1),HLOOKUP(I191,各项评分标准!$13:$14,2,1)),0)</f>
        <v>0</v>
      </c>
      <c r="K191" s="95"/>
      <c r="L191" s="94">
        <f>IF(K191&lt;&gt;"",IF(D191="男",HLOOKUP(K191,各项评分标准!$16:$18,3,1),HLOOKUP(K191,各项评分标准!$17:$18,2,1)),0)</f>
        <v>0</v>
      </c>
      <c r="M191" s="85"/>
      <c r="N191" s="94">
        <f>IF(M191&lt;&gt;"",IF(D191="男",HLOOKUP(M191,各项评分标准!$4:$6,3,1),HLOOKUP(M191,各项评分标准!$5:$6,2,1)),0)</f>
        <v>0</v>
      </c>
      <c r="O191" s="85"/>
      <c r="P191" s="94">
        <f>IF(O191&lt;&gt;"",IF(D191="男",HLOOKUP(O191,各项评分标准!$8:$10,3,1),HLOOKUP(O191,各项评分标准!$9:$10,2,1)),0)</f>
        <v>0</v>
      </c>
      <c r="Q191" s="96">
        <f t="shared" si="8"/>
        <v>0</v>
      </c>
      <c r="R191" s="97">
        <f t="shared" si="9"/>
        <v>0</v>
      </c>
      <c r="S191" s="98"/>
    </row>
    <row r="192" spans="1:19">
      <c r="A192" s="85"/>
      <c r="B192" s="85"/>
      <c r="C192" s="85"/>
      <c r="D192" s="88"/>
      <c r="E192" s="85"/>
      <c r="F192" s="90"/>
      <c r="G192" s="91"/>
      <c r="H192" s="92">
        <f t="shared" si="10"/>
        <v>0</v>
      </c>
      <c r="I192" s="93"/>
      <c r="J192" s="94">
        <f>IF(I192&lt;&gt;"",IF(D192="男",HLOOKUP(I192,各项评分标准!$12:$14,3,1),HLOOKUP(I192,各项评分标准!$13:$14,2,1)),0)</f>
        <v>0</v>
      </c>
      <c r="K192" s="95"/>
      <c r="L192" s="94">
        <f>IF(K192&lt;&gt;"",IF(D192="男",HLOOKUP(K192,各项评分标准!$16:$18,3,1),HLOOKUP(K192,各项评分标准!$17:$18,2,1)),0)</f>
        <v>0</v>
      </c>
      <c r="M192" s="85"/>
      <c r="N192" s="94">
        <f>IF(M192&lt;&gt;"",IF(D192="男",HLOOKUP(M192,各项评分标准!$4:$6,3,1),HLOOKUP(M192,各项评分标准!$5:$6,2,1)),0)</f>
        <v>0</v>
      </c>
      <c r="O192" s="85"/>
      <c r="P192" s="94">
        <f>IF(O192&lt;&gt;"",IF(D192="男",HLOOKUP(O192,各项评分标准!$8:$10,3,1),HLOOKUP(O192,各项评分标准!$9:$10,2,1)),0)</f>
        <v>0</v>
      </c>
      <c r="Q192" s="96">
        <f t="shared" si="8"/>
        <v>0</v>
      </c>
      <c r="R192" s="97">
        <f t="shared" si="9"/>
        <v>0</v>
      </c>
      <c r="S192" s="98"/>
    </row>
    <row r="193" spans="1:19">
      <c r="A193" s="85"/>
      <c r="B193" s="85"/>
      <c r="C193" s="85"/>
      <c r="D193" s="88"/>
      <c r="E193" s="85"/>
      <c r="F193" s="90"/>
      <c r="G193" s="91"/>
      <c r="H193" s="92">
        <f t="shared" si="10"/>
        <v>0</v>
      </c>
      <c r="I193" s="93"/>
      <c r="J193" s="94">
        <f>IF(I193&lt;&gt;"",IF(D193="男",HLOOKUP(I193,各项评分标准!$12:$14,3,1),HLOOKUP(I193,各项评分标准!$13:$14,2,1)),0)</f>
        <v>0</v>
      </c>
      <c r="K193" s="95"/>
      <c r="L193" s="94">
        <f>IF(K193&lt;&gt;"",IF(D193="男",HLOOKUP(K193,各项评分标准!$16:$18,3,1),HLOOKUP(K193,各项评分标准!$17:$18,2,1)),0)</f>
        <v>0</v>
      </c>
      <c r="M193" s="85"/>
      <c r="N193" s="94">
        <f>IF(M193&lt;&gt;"",IF(D193="男",HLOOKUP(M193,各项评分标准!$4:$6,3,1),HLOOKUP(M193,各项评分标准!$5:$6,2,1)),0)</f>
        <v>0</v>
      </c>
      <c r="O193" s="85"/>
      <c r="P193" s="94">
        <f>IF(O193&lt;&gt;"",IF(D193="男",HLOOKUP(O193,各项评分标准!$8:$10,3,1),HLOOKUP(O193,各项评分标准!$9:$10,2,1)),0)</f>
        <v>0</v>
      </c>
      <c r="Q193" s="96">
        <f t="shared" si="8"/>
        <v>0</v>
      </c>
      <c r="R193" s="97">
        <f t="shared" si="9"/>
        <v>0</v>
      </c>
      <c r="S193" s="98"/>
    </row>
    <row r="194" spans="1:19">
      <c r="A194" s="85"/>
      <c r="B194" s="85"/>
      <c r="C194" s="85"/>
      <c r="D194" s="88"/>
      <c r="E194" s="85"/>
      <c r="F194" s="90"/>
      <c r="G194" s="91"/>
      <c r="H194" s="92">
        <f t="shared" si="10"/>
        <v>0</v>
      </c>
      <c r="I194" s="93"/>
      <c r="J194" s="94">
        <f>IF(I194&lt;&gt;"",IF(D194="男",HLOOKUP(I194,各项评分标准!$12:$14,3,1),HLOOKUP(I194,各项评分标准!$13:$14,2,1)),0)</f>
        <v>0</v>
      </c>
      <c r="K194" s="95"/>
      <c r="L194" s="94">
        <f>IF(K194&lt;&gt;"",IF(D194="男",HLOOKUP(K194,各项评分标准!$16:$18,3,1),HLOOKUP(K194,各项评分标准!$17:$18,2,1)),0)</f>
        <v>0</v>
      </c>
      <c r="M194" s="85"/>
      <c r="N194" s="94">
        <f>IF(M194&lt;&gt;"",IF(D194="男",HLOOKUP(M194,各项评分标准!$4:$6,3,1),HLOOKUP(M194,各项评分标准!$5:$6,2,1)),0)</f>
        <v>0</v>
      </c>
      <c r="O194" s="85"/>
      <c r="P194" s="94">
        <f>IF(O194&lt;&gt;"",IF(D194="男",HLOOKUP(O194,各项评分标准!$8:$10,3,1),HLOOKUP(O194,各项评分标准!$9:$10,2,1)),0)</f>
        <v>0</v>
      </c>
      <c r="Q194" s="96">
        <f t="shared" si="8"/>
        <v>0</v>
      </c>
      <c r="R194" s="97">
        <f t="shared" si="9"/>
        <v>0</v>
      </c>
      <c r="S194" s="98"/>
    </row>
    <row r="195" spans="1:19">
      <c r="A195" s="85"/>
      <c r="B195" s="85"/>
      <c r="C195" s="85"/>
      <c r="D195" s="88"/>
      <c r="E195" s="85"/>
      <c r="F195" s="90"/>
      <c r="G195" s="91"/>
      <c r="H195" s="92">
        <f t="shared" si="10"/>
        <v>0</v>
      </c>
      <c r="I195" s="93"/>
      <c r="J195" s="94">
        <f>IF(I195&lt;&gt;"",IF(D195="男",HLOOKUP(I195,各项评分标准!$12:$14,3,1),HLOOKUP(I195,各项评分标准!$13:$14,2,1)),0)</f>
        <v>0</v>
      </c>
      <c r="K195" s="95"/>
      <c r="L195" s="94">
        <f>IF(K195&lt;&gt;"",IF(D195="男",HLOOKUP(K195,各项评分标准!$16:$18,3,1),HLOOKUP(K195,各项评分标准!$17:$18,2,1)),0)</f>
        <v>0</v>
      </c>
      <c r="M195" s="85"/>
      <c r="N195" s="94">
        <f>IF(M195&lt;&gt;"",IF(D195="男",HLOOKUP(M195,各项评分标准!$4:$6,3,1),HLOOKUP(M195,各项评分标准!$5:$6,2,1)),0)</f>
        <v>0</v>
      </c>
      <c r="O195" s="85"/>
      <c r="P195" s="94">
        <f>IF(O195&lt;&gt;"",IF(D195="男",HLOOKUP(O195,各项评分标准!$8:$10,3,1),HLOOKUP(O195,各项评分标准!$9:$10,2,1)),0)</f>
        <v>0</v>
      </c>
      <c r="Q195" s="96">
        <f t="shared" si="8"/>
        <v>0</v>
      </c>
      <c r="R195" s="97">
        <f t="shared" si="9"/>
        <v>0</v>
      </c>
      <c r="S195" s="98"/>
    </row>
    <row r="196" spans="1:19">
      <c r="A196" s="85"/>
      <c r="B196" s="85"/>
      <c r="C196" s="85"/>
      <c r="D196" s="88"/>
      <c r="E196" s="85"/>
      <c r="F196" s="90"/>
      <c r="G196" s="91"/>
      <c r="H196" s="92">
        <f t="shared" si="10"/>
        <v>0</v>
      </c>
      <c r="I196" s="93"/>
      <c r="J196" s="94">
        <f>IF(I196&lt;&gt;"",IF(D196="男",HLOOKUP(I196,各项评分标准!$12:$14,3,1),HLOOKUP(I196,各项评分标准!$13:$14,2,1)),0)</f>
        <v>0</v>
      </c>
      <c r="K196" s="95"/>
      <c r="L196" s="94">
        <f>IF(K196&lt;&gt;"",IF(D196="男",HLOOKUP(K196,各项评分标准!$16:$18,3,1),HLOOKUP(K196,各项评分标准!$17:$18,2,1)),0)</f>
        <v>0</v>
      </c>
      <c r="M196" s="85"/>
      <c r="N196" s="94">
        <f>IF(M196&lt;&gt;"",IF(D196="男",HLOOKUP(M196,各项评分标准!$4:$6,3,1),HLOOKUP(M196,各项评分标准!$5:$6,2,1)),0)</f>
        <v>0</v>
      </c>
      <c r="O196" s="85"/>
      <c r="P196" s="94">
        <f>IF(O196&lt;&gt;"",IF(D196="男",HLOOKUP(O196,各项评分标准!$8:$10,3,1),HLOOKUP(O196,各项评分标准!$9:$10,2,1)),0)</f>
        <v>0</v>
      </c>
      <c r="Q196" s="96">
        <f t="shared" si="8"/>
        <v>0</v>
      </c>
      <c r="R196" s="97">
        <f t="shared" si="9"/>
        <v>0</v>
      </c>
      <c r="S196" s="98"/>
    </row>
    <row r="197" spans="1:19">
      <c r="A197" s="85"/>
      <c r="B197" s="85"/>
      <c r="C197" s="85"/>
      <c r="D197" s="88"/>
      <c r="E197" s="85"/>
      <c r="F197" s="90"/>
      <c r="G197" s="91"/>
      <c r="H197" s="92">
        <f t="shared" si="10"/>
        <v>0</v>
      </c>
      <c r="I197" s="93"/>
      <c r="J197" s="94">
        <f>IF(I197&lt;&gt;"",IF(D197="男",HLOOKUP(I197,各项评分标准!$12:$14,3,1),HLOOKUP(I197,各项评分标准!$13:$14,2,1)),0)</f>
        <v>0</v>
      </c>
      <c r="K197" s="95"/>
      <c r="L197" s="94">
        <f>IF(K197&lt;&gt;"",IF(D197="男",HLOOKUP(K197,各项评分标准!$16:$18,3,1),HLOOKUP(K197,各项评分标准!$17:$18,2,1)),0)</f>
        <v>0</v>
      </c>
      <c r="M197" s="85"/>
      <c r="N197" s="94">
        <f>IF(M197&lt;&gt;"",IF(D197="男",HLOOKUP(M197,各项评分标准!$4:$6,3,1),HLOOKUP(M197,各项评分标准!$5:$6,2,1)),0)</f>
        <v>0</v>
      </c>
      <c r="O197" s="85"/>
      <c r="P197" s="94">
        <f>IF(O197&lt;&gt;"",IF(D197="男",HLOOKUP(O197,各项评分标准!$8:$10,3,1),HLOOKUP(O197,各项评分标准!$9:$10,2,1)),0)</f>
        <v>0</v>
      </c>
      <c r="Q197" s="96">
        <f t="shared" si="8"/>
        <v>0</v>
      </c>
      <c r="R197" s="97">
        <f t="shared" si="9"/>
        <v>0</v>
      </c>
      <c r="S197" s="98"/>
    </row>
    <row r="198" spans="1:19">
      <c r="A198" s="85"/>
      <c r="B198" s="85"/>
      <c r="C198" s="85"/>
      <c r="D198" s="88"/>
      <c r="E198" s="85"/>
      <c r="F198" s="90"/>
      <c r="G198" s="91"/>
      <c r="H198" s="92">
        <f t="shared" si="10"/>
        <v>0</v>
      </c>
      <c r="I198" s="93"/>
      <c r="J198" s="94">
        <f>IF(I198&lt;&gt;"",IF(D198="男",HLOOKUP(I198,各项评分标准!$12:$14,3,1),HLOOKUP(I198,各项评分标准!$13:$14,2,1)),0)</f>
        <v>0</v>
      </c>
      <c r="K198" s="95"/>
      <c r="L198" s="94">
        <f>IF(K198&lt;&gt;"",IF(D198="男",HLOOKUP(K198,各项评分标准!$16:$18,3,1),HLOOKUP(K198,各项评分标准!$17:$18,2,1)),0)</f>
        <v>0</v>
      </c>
      <c r="M198" s="85"/>
      <c r="N198" s="94">
        <f>IF(M198&lt;&gt;"",IF(D198="男",HLOOKUP(M198,各项评分标准!$4:$6,3,1),HLOOKUP(M198,各项评分标准!$5:$6,2,1)),0)</f>
        <v>0</v>
      </c>
      <c r="O198" s="85"/>
      <c r="P198" s="94">
        <f>IF(O198&lt;&gt;"",IF(D198="男",HLOOKUP(O198,各项评分标准!$8:$10,3,1),HLOOKUP(O198,各项评分标准!$9:$10,2,1)),0)</f>
        <v>0</v>
      </c>
      <c r="Q198" s="96">
        <f t="shared" ref="Q198:Q261" si="11">(J198+L198+N198+P198)/4</f>
        <v>0</v>
      </c>
      <c r="R198" s="97">
        <f t="shared" ref="R198:R261" si="12">F198*10%+G198*10%+H198*80%</f>
        <v>0</v>
      </c>
      <c r="S198" s="98"/>
    </row>
    <row r="199" spans="1:19">
      <c r="A199" s="85"/>
      <c r="B199" s="85"/>
      <c r="C199" s="85"/>
      <c r="D199" s="88"/>
      <c r="E199" s="85"/>
      <c r="F199" s="90"/>
      <c r="G199" s="91"/>
      <c r="H199" s="92">
        <f t="shared" si="10"/>
        <v>0</v>
      </c>
      <c r="I199" s="93"/>
      <c r="J199" s="94">
        <f>IF(I199&lt;&gt;"",IF(D199="男",HLOOKUP(I199,各项评分标准!$12:$14,3,1),HLOOKUP(I199,各项评分标准!$13:$14,2,1)),0)</f>
        <v>0</v>
      </c>
      <c r="K199" s="95"/>
      <c r="L199" s="94">
        <f>IF(K199&lt;&gt;"",IF(D199="男",HLOOKUP(K199,各项评分标准!$16:$18,3,1),HLOOKUP(K199,各项评分标准!$17:$18,2,1)),0)</f>
        <v>0</v>
      </c>
      <c r="M199" s="85"/>
      <c r="N199" s="94">
        <f>IF(M199&lt;&gt;"",IF(D199="男",HLOOKUP(M199,各项评分标准!$4:$6,3,1),HLOOKUP(M199,各项评分标准!$5:$6,2,1)),0)</f>
        <v>0</v>
      </c>
      <c r="O199" s="85"/>
      <c r="P199" s="94">
        <f>IF(O199&lt;&gt;"",IF(D199="男",HLOOKUP(O199,各项评分标准!$8:$10,3,1),HLOOKUP(O199,各项评分标准!$9:$10,2,1)),0)</f>
        <v>0</v>
      </c>
      <c r="Q199" s="96">
        <f t="shared" si="11"/>
        <v>0</v>
      </c>
      <c r="R199" s="97">
        <f t="shared" si="12"/>
        <v>0</v>
      </c>
      <c r="S199" s="98"/>
    </row>
    <row r="200" spans="1:19">
      <c r="A200" s="85"/>
      <c r="B200" s="85"/>
      <c r="C200" s="85"/>
      <c r="D200" s="88"/>
      <c r="E200" s="85"/>
      <c r="F200" s="90"/>
      <c r="G200" s="91"/>
      <c r="H200" s="92">
        <f t="shared" si="10"/>
        <v>0</v>
      </c>
      <c r="I200" s="93"/>
      <c r="J200" s="94">
        <f>IF(I200&lt;&gt;"",IF(D200="男",HLOOKUP(I200,各项评分标准!$12:$14,3,1),HLOOKUP(I200,各项评分标准!$13:$14,2,1)),0)</f>
        <v>0</v>
      </c>
      <c r="K200" s="95"/>
      <c r="L200" s="94">
        <f>IF(K200&lt;&gt;"",IF(D200="男",HLOOKUP(K200,各项评分标准!$16:$18,3,1),HLOOKUP(K200,各项评分标准!$17:$18,2,1)),0)</f>
        <v>0</v>
      </c>
      <c r="M200" s="85"/>
      <c r="N200" s="94">
        <f>IF(M200&lt;&gt;"",IF(D200="男",HLOOKUP(M200,各项评分标准!$4:$6,3,1),HLOOKUP(M200,各项评分标准!$5:$6,2,1)),0)</f>
        <v>0</v>
      </c>
      <c r="O200" s="85"/>
      <c r="P200" s="94">
        <f>IF(O200&lt;&gt;"",IF(D200="男",HLOOKUP(O200,各项评分标准!$8:$10,3,1),HLOOKUP(O200,各项评分标准!$9:$10,2,1)),0)</f>
        <v>0</v>
      </c>
      <c r="Q200" s="96">
        <f t="shared" si="11"/>
        <v>0</v>
      </c>
      <c r="R200" s="97">
        <f t="shared" si="12"/>
        <v>0</v>
      </c>
      <c r="S200" s="98"/>
    </row>
    <row r="201" spans="1:19">
      <c r="A201" s="85"/>
      <c r="B201" s="85"/>
      <c r="C201" s="85"/>
      <c r="D201" s="88"/>
      <c r="E201" s="85"/>
      <c r="F201" s="90"/>
      <c r="G201" s="91"/>
      <c r="H201" s="92">
        <f t="shared" ref="H201:H264" si="13">Q201</f>
        <v>0</v>
      </c>
      <c r="I201" s="93"/>
      <c r="J201" s="94">
        <f>IF(I201&lt;&gt;"",IF(D201="男",HLOOKUP(I201,各项评分标准!$12:$14,3,1),HLOOKUP(I201,各项评分标准!$13:$14,2,1)),0)</f>
        <v>0</v>
      </c>
      <c r="K201" s="95"/>
      <c r="L201" s="94">
        <f>IF(K201&lt;&gt;"",IF(D201="男",HLOOKUP(K201,各项评分标准!$16:$18,3,1),HLOOKUP(K201,各项评分标准!$17:$18,2,1)),0)</f>
        <v>0</v>
      </c>
      <c r="M201" s="85"/>
      <c r="N201" s="94">
        <f>IF(M201&lt;&gt;"",IF(D201="男",HLOOKUP(M201,各项评分标准!$4:$6,3,1),HLOOKUP(M201,各项评分标准!$5:$6,2,1)),0)</f>
        <v>0</v>
      </c>
      <c r="O201" s="85"/>
      <c r="P201" s="94">
        <f>IF(O201&lt;&gt;"",IF(D201="男",HLOOKUP(O201,各项评分标准!$8:$10,3,1),HLOOKUP(O201,各项评分标准!$9:$10,2,1)),0)</f>
        <v>0</v>
      </c>
      <c r="Q201" s="96">
        <f t="shared" si="11"/>
        <v>0</v>
      </c>
      <c r="R201" s="97">
        <f t="shared" si="12"/>
        <v>0</v>
      </c>
      <c r="S201" s="98"/>
    </row>
    <row r="202" spans="1:19">
      <c r="A202" s="85"/>
      <c r="B202" s="85"/>
      <c r="C202" s="85"/>
      <c r="D202" s="88"/>
      <c r="E202" s="85"/>
      <c r="F202" s="90"/>
      <c r="G202" s="91"/>
      <c r="H202" s="92">
        <f t="shared" si="13"/>
        <v>0</v>
      </c>
      <c r="I202" s="93"/>
      <c r="J202" s="94">
        <f>IF(I202&lt;&gt;"",IF(D202="男",HLOOKUP(I202,各项评分标准!$12:$14,3,1),HLOOKUP(I202,各项评分标准!$13:$14,2,1)),0)</f>
        <v>0</v>
      </c>
      <c r="K202" s="95"/>
      <c r="L202" s="94">
        <f>IF(K202&lt;&gt;"",IF(D202="男",HLOOKUP(K202,各项评分标准!$16:$18,3,1),HLOOKUP(K202,各项评分标准!$17:$18,2,1)),0)</f>
        <v>0</v>
      </c>
      <c r="M202" s="85"/>
      <c r="N202" s="94">
        <f>IF(M202&lt;&gt;"",IF(D202="男",HLOOKUP(M202,各项评分标准!$4:$6,3,1),HLOOKUP(M202,各项评分标准!$5:$6,2,1)),0)</f>
        <v>0</v>
      </c>
      <c r="O202" s="85"/>
      <c r="P202" s="94">
        <f>IF(O202&lt;&gt;"",IF(D202="男",HLOOKUP(O202,各项评分标准!$8:$10,3,1),HLOOKUP(O202,各项评分标准!$9:$10,2,1)),0)</f>
        <v>0</v>
      </c>
      <c r="Q202" s="96">
        <f t="shared" si="11"/>
        <v>0</v>
      </c>
      <c r="R202" s="97">
        <f t="shared" si="12"/>
        <v>0</v>
      </c>
      <c r="S202" s="98"/>
    </row>
    <row r="203" spans="1:19">
      <c r="A203" s="85"/>
      <c r="B203" s="85"/>
      <c r="C203" s="85"/>
      <c r="D203" s="88"/>
      <c r="E203" s="85"/>
      <c r="F203" s="90"/>
      <c r="G203" s="91"/>
      <c r="H203" s="92">
        <f t="shared" si="13"/>
        <v>0</v>
      </c>
      <c r="I203" s="93"/>
      <c r="J203" s="94">
        <f>IF(I203&lt;&gt;"",IF(D203="男",HLOOKUP(I203,各项评分标准!$12:$14,3,1),HLOOKUP(I203,各项评分标准!$13:$14,2,1)),0)</f>
        <v>0</v>
      </c>
      <c r="K203" s="95"/>
      <c r="L203" s="94">
        <f>IF(K203&lt;&gt;"",IF(D203="男",HLOOKUP(K203,各项评分标准!$16:$18,3,1),HLOOKUP(K203,各项评分标准!$17:$18,2,1)),0)</f>
        <v>0</v>
      </c>
      <c r="M203" s="85"/>
      <c r="N203" s="94">
        <f>IF(M203&lt;&gt;"",IF(D203="男",HLOOKUP(M203,各项评分标准!$4:$6,3,1),HLOOKUP(M203,各项评分标准!$5:$6,2,1)),0)</f>
        <v>0</v>
      </c>
      <c r="O203" s="85"/>
      <c r="P203" s="94">
        <f>IF(O203&lt;&gt;"",IF(D203="男",HLOOKUP(O203,各项评分标准!$8:$10,3,1),HLOOKUP(O203,各项评分标准!$9:$10,2,1)),0)</f>
        <v>0</v>
      </c>
      <c r="Q203" s="96">
        <f t="shared" si="11"/>
        <v>0</v>
      </c>
      <c r="R203" s="97">
        <f t="shared" si="12"/>
        <v>0</v>
      </c>
      <c r="S203" s="98"/>
    </row>
    <row r="204" spans="1:19">
      <c r="A204" s="85"/>
      <c r="B204" s="85"/>
      <c r="C204" s="85"/>
      <c r="D204" s="88"/>
      <c r="E204" s="85"/>
      <c r="F204" s="90"/>
      <c r="G204" s="91"/>
      <c r="H204" s="92">
        <f t="shared" si="13"/>
        <v>0</v>
      </c>
      <c r="I204" s="93"/>
      <c r="J204" s="94">
        <f>IF(I204&lt;&gt;"",IF(D204="男",HLOOKUP(I204,各项评分标准!$12:$14,3,1),HLOOKUP(I204,各项评分标准!$13:$14,2,1)),0)</f>
        <v>0</v>
      </c>
      <c r="K204" s="95"/>
      <c r="L204" s="94">
        <f>IF(K204&lt;&gt;"",IF(D204="男",HLOOKUP(K204,各项评分标准!$16:$18,3,1),HLOOKUP(K204,各项评分标准!$17:$18,2,1)),0)</f>
        <v>0</v>
      </c>
      <c r="M204" s="85"/>
      <c r="N204" s="94">
        <f>IF(M204&lt;&gt;"",IF(D204="男",HLOOKUP(M204,各项评分标准!$4:$6,3,1),HLOOKUP(M204,各项评分标准!$5:$6,2,1)),0)</f>
        <v>0</v>
      </c>
      <c r="O204" s="85"/>
      <c r="P204" s="94">
        <f>IF(O204&lt;&gt;"",IF(D204="男",HLOOKUP(O204,各项评分标准!$8:$10,3,1),HLOOKUP(O204,各项评分标准!$9:$10,2,1)),0)</f>
        <v>0</v>
      </c>
      <c r="Q204" s="96">
        <f t="shared" si="11"/>
        <v>0</v>
      </c>
      <c r="R204" s="97">
        <f t="shared" si="12"/>
        <v>0</v>
      </c>
      <c r="S204" s="98"/>
    </row>
    <row r="205" spans="1:19">
      <c r="A205" s="85"/>
      <c r="B205" s="85"/>
      <c r="C205" s="85"/>
      <c r="D205" s="88"/>
      <c r="E205" s="85"/>
      <c r="F205" s="90"/>
      <c r="G205" s="91"/>
      <c r="H205" s="92">
        <f t="shared" si="13"/>
        <v>0</v>
      </c>
      <c r="I205" s="93"/>
      <c r="J205" s="94">
        <f>IF(I205&lt;&gt;"",IF(D205="男",HLOOKUP(I205,各项评分标准!$12:$14,3,1),HLOOKUP(I205,各项评分标准!$13:$14,2,1)),0)</f>
        <v>0</v>
      </c>
      <c r="K205" s="95"/>
      <c r="L205" s="94">
        <f>IF(K205&lt;&gt;"",IF(D205="男",HLOOKUP(K205,各项评分标准!$16:$18,3,1),HLOOKUP(K205,各项评分标准!$17:$18,2,1)),0)</f>
        <v>0</v>
      </c>
      <c r="M205" s="85"/>
      <c r="N205" s="94">
        <f>IF(M205&lt;&gt;"",IF(D205="男",HLOOKUP(M205,各项评分标准!$4:$6,3,1),HLOOKUP(M205,各项评分标准!$5:$6,2,1)),0)</f>
        <v>0</v>
      </c>
      <c r="O205" s="85"/>
      <c r="P205" s="94">
        <f>IF(O205&lt;&gt;"",IF(D205="男",HLOOKUP(O205,各项评分标准!$8:$10,3,1),HLOOKUP(O205,各项评分标准!$9:$10,2,1)),0)</f>
        <v>0</v>
      </c>
      <c r="Q205" s="96">
        <f t="shared" si="11"/>
        <v>0</v>
      </c>
      <c r="R205" s="97">
        <f t="shared" si="12"/>
        <v>0</v>
      </c>
      <c r="S205" s="98"/>
    </row>
    <row r="206" spans="1:19">
      <c r="A206" s="85"/>
      <c r="B206" s="85"/>
      <c r="C206" s="85"/>
      <c r="D206" s="88"/>
      <c r="E206" s="85"/>
      <c r="F206" s="90"/>
      <c r="G206" s="91"/>
      <c r="H206" s="92">
        <f t="shared" si="13"/>
        <v>0</v>
      </c>
      <c r="I206" s="93"/>
      <c r="J206" s="94">
        <f>IF(I206&lt;&gt;"",IF(D206="男",HLOOKUP(I206,各项评分标准!$12:$14,3,1),HLOOKUP(I206,各项评分标准!$13:$14,2,1)),0)</f>
        <v>0</v>
      </c>
      <c r="K206" s="95"/>
      <c r="L206" s="94">
        <f>IF(K206&lt;&gt;"",IF(D206="男",HLOOKUP(K206,各项评分标准!$16:$18,3,1),HLOOKUP(K206,各项评分标准!$17:$18,2,1)),0)</f>
        <v>0</v>
      </c>
      <c r="M206" s="85"/>
      <c r="N206" s="94">
        <f>IF(M206&lt;&gt;"",IF(D206="男",HLOOKUP(M206,各项评分标准!$4:$6,3,1),HLOOKUP(M206,各项评分标准!$5:$6,2,1)),0)</f>
        <v>0</v>
      </c>
      <c r="O206" s="85"/>
      <c r="P206" s="94">
        <f>IF(O206&lt;&gt;"",IF(D206="男",HLOOKUP(O206,各项评分标准!$8:$10,3,1),HLOOKUP(O206,各项评分标准!$9:$10,2,1)),0)</f>
        <v>0</v>
      </c>
      <c r="Q206" s="96">
        <f t="shared" si="11"/>
        <v>0</v>
      </c>
      <c r="R206" s="97">
        <f t="shared" si="12"/>
        <v>0</v>
      </c>
      <c r="S206" s="98"/>
    </row>
    <row r="207" spans="1:19">
      <c r="A207" s="85"/>
      <c r="B207" s="85"/>
      <c r="C207" s="85"/>
      <c r="D207" s="88"/>
      <c r="E207" s="85"/>
      <c r="F207" s="90"/>
      <c r="G207" s="91"/>
      <c r="H207" s="92">
        <f t="shared" si="13"/>
        <v>0</v>
      </c>
      <c r="I207" s="93"/>
      <c r="J207" s="94">
        <f>IF(I207&lt;&gt;"",IF(D207="男",HLOOKUP(I207,各项评分标准!$12:$14,3,1),HLOOKUP(I207,各项评分标准!$13:$14,2,1)),0)</f>
        <v>0</v>
      </c>
      <c r="K207" s="95"/>
      <c r="L207" s="94">
        <f>IF(K207&lt;&gt;"",IF(D207="男",HLOOKUP(K207,各项评分标准!$16:$18,3,1),HLOOKUP(K207,各项评分标准!$17:$18,2,1)),0)</f>
        <v>0</v>
      </c>
      <c r="M207" s="85"/>
      <c r="N207" s="94">
        <f>IF(M207&lt;&gt;"",IF(D207="男",HLOOKUP(M207,各项评分标准!$4:$6,3,1),HLOOKUP(M207,各项评分标准!$5:$6,2,1)),0)</f>
        <v>0</v>
      </c>
      <c r="O207" s="85"/>
      <c r="P207" s="94">
        <f>IF(O207&lt;&gt;"",IF(D207="男",HLOOKUP(O207,各项评分标准!$8:$10,3,1),HLOOKUP(O207,各项评分标准!$9:$10,2,1)),0)</f>
        <v>0</v>
      </c>
      <c r="Q207" s="96">
        <f t="shared" si="11"/>
        <v>0</v>
      </c>
      <c r="R207" s="97">
        <f t="shared" si="12"/>
        <v>0</v>
      </c>
      <c r="S207" s="98"/>
    </row>
    <row r="208" spans="1:19">
      <c r="A208" s="85"/>
      <c r="B208" s="85"/>
      <c r="C208" s="85"/>
      <c r="D208" s="88"/>
      <c r="E208" s="85"/>
      <c r="F208" s="90"/>
      <c r="G208" s="91"/>
      <c r="H208" s="92">
        <f t="shared" si="13"/>
        <v>0</v>
      </c>
      <c r="I208" s="93"/>
      <c r="J208" s="94">
        <f>IF(I208&lt;&gt;"",IF(D208="男",HLOOKUP(I208,各项评分标准!$12:$14,3,1),HLOOKUP(I208,各项评分标准!$13:$14,2,1)),0)</f>
        <v>0</v>
      </c>
      <c r="K208" s="95"/>
      <c r="L208" s="94">
        <f>IF(K208&lt;&gt;"",IF(D208="男",HLOOKUP(K208,各项评分标准!$16:$18,3,1),HLOOKUP(K208,各项评分标准!$17:$18,2,1)),0)</f>
        <v>0</v>
      </c>
      <c r="M208" s="85"/>
      <c r="N208" s="94">
        <f>IF(M208&lt;&gt;"",IF(D208="男",HLOOKUP(M208,各项评分标准!$4:$6,3,1),HLOOKUP(M208,各项评分标准!$5:$6,2,1)),0)</f>
        <v>0</v>
      </c>
      <c r="O208" s="85"/>
      <c r="P208" s="94">
        <f>IF(O208&lt;&gt;"",IF(D208="男",HLOOKUP(O208,各项评分标准!$8:$10,3,1),HLOOKUP(O208,各项评分标准!$9:$10,2,1)),0)</f>
        <v>0</v>
      </c>
      <c r="Q208" s="96">
        <f t="shared" si="11"/>
        <v>0</v>
      </c>
      <c r="R208" s="97">
        <f t="shared" si="12"/>
        <v>0</v>
      </c>
      <c r="S208" s="98"/>
    </row>
    <row r="209" spans="1:19">
      <c r="A209" s="85"/>
      <c r="B209" s="85"/>
      <c r="C209" s="85"/>
      <c r="D209" s="88"/>
      <c r="E209" s="85"/>
      <c r="F209" s="90"/>
      <c r="G209" s="91"/>
      <c r="H209" s="92">
        <f t="shared" si="13"/>
        <v>0</v>
      </c>
      <c r="I209" s="93"/>
      <c r="J209" s="94">
        <f>IF(I209&lt;&gt;"",IF(D209="男",HLOOKUP(I209,各项评分标准!$12:$14,3,1),HLOOKUP(I209,各项评分标准!$13:$14,2,1)),0)</f>
        <v>0</v>
      </c>
      <c r="K209" s="95"/>
      <c r="L209" s="94">
        <f>IF(K209&lt;&gt;"",IF(D209="男",HLOOKUP(K209,各项评分标准!$16:$18,3,1),HLOOKUP(K209,各项评分标准!$17:$18,2,1)),0)</f>
        <v>0</v>
      </c>
      <c r="M209" s="85"/>
      <c r="N209" s="94">
        <f>IF(M209&lt;&gt;"",IF(D209="男",HLOOKUP(M209,各项评分标准!$4:$6,3,1),HLOOKUP(M209,各项评分标准!$5:$6,2,1)),0)</f>
        <v>0</v>
      </c>
      <c r="O209" s="85"/>
      <c r="P209" s="94">
        <f>IF(O209&lt;&gt;"",IF(D209="男",HLOOKUP(O209,各项评分标准!$8:$10,3,1),HLOOKUP(O209,各项评分标准!$9:$10,2,1)),0)</f>
        <v>0</v>
      </c>
      <c r="Q209" s="96">
        <f t="shared" si="11"/>
        <v>0</v>
      </c>
      <c r="R209" s="97">
        <f t="shared" si="12"/>
        <v>0</v>
      </c>
      <c r="S209" s="98"/>
    </row>
    <row r="210" spans="1:19">
      <c r="A210" s="85"/>
      <c r="B210" s="85"/>
      <c r="C210" s="85"/>
      <c r="D210" s="88"/>
      <c r="E210" s="85"/>
      <c r="F210" s="90"/>
      <c r="G210" s="91"/>
      <c r="H210" s="92">
        <f t="shared" si="13"/>
        <v>0</v>
      </c>
      <c r="I210" s="93"/>
      <c r="J210" s="94">
        <f>IF(I210&lt;&gt;"",IF(D210="男",HLOOKUP(I210,各项评分标准!$12:$14,3,1),HLOOKUP(I210,各项评分标准!$13:$14,2,1)),0)</f>
        <v>0</v>
      </c>
      <c r="K210" s="95"/>
      <c r="L210" s="94">
        <f>IF(K210&lt;&gt;"",IF(D210="男",HLOOKUP(K210,各项评分标准!$16:$18,3,1),HLOOKUP(K210,各项评分标准!$17:$18,2,1)),0)</f>
        <v>0</v>
      </c>
      <c r="M210" s="85"/>
      <c r="N210" s="94">
        <f>IF(M210&lt;&gt;"",IF(D210="男",HLOOKUP(M210,各项评分标准!$4:$6,3,1),HLOOKUP(M210,各项评分标准!$5:$6,2,1)),0)</f>
        <v>0</v>
      </c>
      <c r="O210" s="85"/>
      <c r="P210" s="94">
        <f>IF(O210&lt;&gt;"",IF(D210="男",HLOOKUP(O210,各项评分标准!$8:$10,3,1),HLOOKUP(O210,各项评分标准!$9:$10,2,1)),0)</f>
        <v>0</v>
      </c>
      <c r="Q210" s="96">
        <f t="shared" si="11"/>
        <v>0</v>
      </c>
      <c r="R210" s="97">
        <f t="shared" si="12"/>
        <v>0</v>
      </c>
      <c r="S210" s="98"/>
    </row>
    <row r="211" spans="1:19">
      <c r="A211" s="85"/>
      <c r="B211" s="85"/>
      <c r="C211" s="85"/>
      <c r="D211" s="88"/>
      <c r="E211" s="85"/>
      <c r="F211" s="90"/>
      <c r="G211" s="91"/>
      <c r="H211" s="92">
        <f t="shared" si="13"/>
        <v>0</v>
      </c>
      <c r="I211" s="93"/>
      <c r="J211" s="94">
        <f>IF(I211&lt;&gt;"",IF(D211="男",HLOOKUP(I211,各项评分标准!$12:$14,3,1),HLOOKUP(I211,各项评分标准!$13:$14,2,1)),0)</f>
        <v>0</v>
      </c>
      <c r="K211" s="95"/>
      <c r="L211" s="94">
        <f>IF(K211&lt;&gt;"",IF(D211="男",HLOOKUP(K211,各项评分标准!$16:$18,3,1),HLOOKUP(K211,各项评分标准!$17:$18,2,1)),0)</f>
        <v>0</v>
      </c>
      <c r="M211" s="85"/>
      <c r="N211" s="94">
        <f>IF(M211&lt;&gt;"",IF(D211="男",HLOOKUP(M211,各项评分标准!$4:$6,3,1),HLOOKUP(M211,各项评分标准!$5:$6,2,1)),0)</f>
        <v>0</v>
      </c>
      <c r="O211" s="85"/>
      <c r="P211" s="94">
        <f>IF(O211&lt;&gt;"",IF(D211="男",HLOOKUP(O211,各项评分标准!$8:$10,3,1),HLOOKUP(O211,各项评分标准!$9:$10,2,1)),0)</f>
        <v>0</v>
      </c>
      <c r="Q211" s="96">
        <f t="shared" si="11"/>
        <v>0</v>
      </c>
      <c r="R211" s="97">
        <f t="shared" si="12"/>
        <v>0</v>
      </c>
      <c r="S211" s="98"/>
    </row>
    <row r="212" spans="1:19">
      <c r="A212" s="85"/>
      <c r="B212" s="85"/>
      <c r="C212" s="85"/>
      <c r="D212" s="88"/>
      <c r="E212" s="85"/>
      <c r="F212" s="90"/>
      <c r="G212" s="91"/>
      <c r="H212" s="92">
        <f t="shared" si="13"/>
        <v>0</v>
      </c>
      <c r="I212" s="93"/>
      <c r="J212" s="94">
        <f>IF(I212&lt;&gt;"",IF(D212="男",HLOOKUP(I212,各项评分标准!$12:$14,3,1),HLOOKUP(I212,各项评分标准!$13:$14,2,1)),0)</f>
        <v>0</v>
      </c>
      <c r="K212" s="95"/>
      <c r="L212" s="94">
        <f>IF(K212&lt;&gt;"",IF(D212="男",HLOOKUP(K212,各项评分标准!$16:$18,3,1),HLOOKUP(K212,各项评分标准!$17:$18,2,1)),0)</f>
        <v>0</v>
      </c>
      <c r="M212" s="85"/>
      <c r="N212" s="94">
        <f>IF(M212&lt;&gt;"",IF(D212="男",HLOOKUP(M212,各项评分标准!$4:$6,3,1),HLOOKUP(M212,各项评分标准!$5:$6,2,1)),0)</f>
        <v>0</v>
      </c>
      <c r="O212" s="85"/>
      <c r="P212" s="94">
        <f>IF(O212&lt;&gt;"",IF(D212="男",HLOOKUP(O212,各项评分标准!$8:$10,3,1),HLOOKUP(O212,各项评分标准!$9:$10,2,1)),0)</f>
        <v>0</v>
      </c>
      <c r="Q212" s="96">
        <f t="shared" si="11"/>
        <v>0</v>
      </c>
      <c r="R212" s="97">
        <f t="shared" si="12"/>
        <v>0</v>
      </c>
      <c r="S212" s="98"/>
    </row>
    <row r="213" spans="1:19">
      <c r="A213" s="85"/>
      <c r="B213" s="85"/>
      <c r="C213" s="85"/>
      <c r="D213" s="88"/>
      <c r="E213" s="85"/>
      <c r="F213" s="90"/>
      <c r="G213" s="91"/>
      <c r="H213" s="92">
        <f t="shared" si="13"/>
        <v>0</v>
      </c>
      <c r="I213" s="93"/>
      <c r="J213" s="94">
        <f>IF(I213&lt;&gt;"",IF(D213="男",HLOOKUP(I213,各项评分标准!$12:$14,3,1),HLOOKUP(I213,各项评分标准!$13:$14,2,1)),0)</f>
        <v>0</v>
      </c>
      <c r="K213" s="95"/>
      <c r="L213" s="94">
        <f>IF(K213&lt;&gt;"",IF(D213="男",HLOOKUP(K213,各项评分标准!$16:$18,3,1),HLOOKUP(K213,各项评分标准!$17:$18,2,1)),0)</f>
        <v>0</v>
      </c>
      <c r="M213" s="85"/>
      <c r="N213" s="94">
        <f>IF(M213&lt;&gt;"",IF(D213="男",HLOOKUP(M213,各项评分标准!$4:$6,3,1),HLOOKUP(M213,各项评分标准!$5:$6,2,1)),0)</f>
        <v>0</v>
      </c>
      <c r="O213" s="85"/>
      <c r="P213" s="94">
        <f>IF(O213&lt;&gt;"",IF(D213="男",HLOOKUP(O213,各项评分标准!$8:$10,3,1),HLOOKUP(O213,各项评分标准!$9:$10,2,1)),0)</f>
        <v>0</v>
      </c>
      <c r="Q213" s="96">
        <f t="shared" si="11"/>
        <v>0</v>
      </c>
      <c r="R213" s="97">
        <f t="shared" si="12"/>
        <v>0</v>
      </c>
      <c r="S213" s="98"/>
    </row>
    <row r="214" spans="1:19">
      <c r="A214" s="85"/>
      <c r="B214" s="85"/>
      <c r="C214" s="85"/>
      <c r="D214" s="88"/>
      <c r="E214" s="85"/>
      <c r="F214" s="90"/>
      <c r="G214" s="91"/>
      <c r="H214" s="92">
        <f t="shared" si="13"/>
        <v>0</v>
      </c>
      <c r="I214" s="93"/>
      <c r="J214" s="94">
        <f>IF(I214&lt;&gt;"",IF(D214="男",HLOOKUP(I214,各项评分标准!$12:$14,3,1),HLOOKUP(I214,各项评分标准!$13:$14,2,1)),0)</f>
        <v>0</v>
      </c>
      <c r="K214" s="95"/>
      <c r="L214" s="94">
        <f>IF(K214&lt;&gt;"",IF(D214="男",HLOOKUP(K214,各项评分标准!$16:$18,3,1),HLOOKUP(K214,各项评分标准!$17:$18,2,1)),0)</f>
        <v>0</v>
      </c>
      <c r="M214" s="85"/>
      <c r="N214" s="94">
        <f>IF(M214&lt;&gt;"",IF(D214="男",HLOOKUP(M214,各项评分标准!$4:$6,3,1),HLOOKUP(M214,各项评分标准!$5:$6,2,1)),0)</f>
        <v>0</v>
      </c>
      <c r="O214" s="85"/>
      <c r="P214" s="94">
        <f>IF(O214&lt;&gt;"",IF(D214="男",HLOOKUP(O214,各项评分标准!$8:$10,3,1),HLOOKUP(O214,各项评分标准!$9:$10,2,1)),0)</f>
        <v>0</v>
      </c>
      <c r="Q214" s="96">
        <f t="shared" si="11"/>
        <v>0</v>
      </c>
      <c r="R214" s="97">
        <f t="shared" si="12"/>
        <v>0</v>
      </c>
      <c r="S214" s="98"/>
    </row>
    <row r="215" spans="1:19">
      <c r="A215" s="85"/>
      <c r="B215" s="85"/>
      <c r="C215" s="85"/>
      <c r="D215" s="88"/>
      <c r="E215" s="85"/>
      <c r="F215" s="90"/>
      <c r="G215" s="91"/>
      <c r="H215" s="92">
        <f t="shared" si="13"/>
        <v>0</v>
      </c>
      <c r="I215" s="93"/>
      <c r="J215" s="94">
        <f>IF(I215&lt;&gt;"",IF(D215="男",HLOOKUP(I215,各项评分标准!$12:$14,3,1),HLOOKUP(I215,各项评分标准!$13:$14,2,1)),0)</f>
        <v>0</v>
      </c>
      <c r="K215" s="95"/>
      <c r="L215" s="94">
        <f>IF(K215&lt;&gt;"",IF(D215="男",HLOOKUP(K215,各项评分标准!$16:$18,3,1),HLOOKUP(K215,各项评分标准!$17:$18,2,1)),0)</f>
        <v>0</v>
      </c>
      <c r="M215" s="85"/>
      <c r="N215" s="94">
        <f>IF(M215&lt;&gt;"",IF(D215="男",HLOOKUP(M215,各项评分标准!$4:$6,3,1),HLOOKUP(M215,各项评分标准!$5:$6,2,1)),0)</f>
        <v>0</v>
      </c>
      <c r="O215" s="85"/>
      <c r="P215" s="94">
        <f>IF(O215&lt;&gt;"",IF(D215="男",HLOOKUP(O215,各项评分标准!$8:$10,3,1),HLOOKUP(O215,各项评分标准!$9:$10,2,1)),0)</f>
        <v>0</v>
      </c>
      <c r="Q215" s="96">
        <f t="shared" si="11"/>
        <v>0</v>
      </c>
      <c r="R215" s="97">
        <f t="shared" si="12"/>
        <v>0</v>
      </c>
      <c r="S215" s="98"/>
    </row>
    <row r="216" spans="1:19">
      <c r="A216" s="85"/>
      <c r="B216" s="85"/>
      <c r="C216" s="85"/>
      <c r="D216" s="88"/>
      <c r="E216" s="85"/>
      <c r="F216" s="90"/>
      <c r="G216" s="91"/>
      <c r="H216" s="92">
        <f t="shared" si="13"/>
        <v>0</v>
      </c>
      <c r="I216" s="93"/>
      <c r="J216" s="94">
        <f>IF(I216&lt;&gt;"",IF(D216="男",HLOOKUP(I216,各项评分标准!$12:$14,3,1),HLOOKUP(I216,各项评分标准!$13:$14,2,1)),0)</f>
        <v>0</v>
      </c>
      <c r="K216" s="95"/>
      <c r="L216" s="94">
        <f>IF(K216&lt;&gt;"",IF(D216="男",HLOOKUP(K216,各项评分标准!$16:$18,3,1),HLOOKUP(K216,各项评分标准!$17:$18,2,1)),0)</f>
        <v>0</v>
      </c>
      <c r="M216" s="85"/>
      <c r="N216" s="94">
        <f>IF(M216&lt;&gt;"",IF(D216="男",HLOOKUP(M216,各项评分标准!$4:$6,3,1),HLOOKUP(M216,各项评分标准!$5:$6,2,1)),0)</f>
        <v>0</v>
      </c>
      <c r="O216" s="85"/>
      <c r="P216" s="94">
        <f>IF(O216&lt;&gt;"",IF(D216="男",HLOOKUP(O216,各项评分标准!$8:$10,3,1),HLOOKUP(O216,各项评分标准!$9:$10,2,1)),0)</f>
        <v>0</v>
      </c>
      <c r="Q216" s="96">
        <f t="shared" si="11"/>
        <v>0</v>
      </c>
      <c r="R216" s="97">
        <f t="shared" si="12"/>
        <v>0</v>
      </c>
      <c r="S216" s="98"/>
    </row>
    <row r="217" spans="1:19">
      <c r="A217" s="85"/>
      <c r="B217" s="85"/>
      <c r="C217" s="85"/>
      <c r="D217" s="88"/>
      <c r="E217" s="85"/>
      <c r="F217" s="90"/>
      <c r="G217" s="91"/>
      <c r="H217" s="92">
        <f t="shared" si="13"/>
        <v>0</v>
      </c>
      <c r="I217" s="93"/>
      <c r="J217" s="94">
        <f>IF(I217&lt;&gt;"",IF(D217="男",HLOOKUP(I217,各项评分标准!$12:$14,3,1),HLOOKUP(I217,各项评分标准!$13:$14,2,1)),0)</f>
        <v>0</v>
      </c>
      <c r="K217" s="95"/>
      <c r="L217" s="94">
        <f>IF(K217&lt;&gt;"",IF(D217="男",HLOOKUP(K217,各项评分标准!$16:$18,3,1),HLOOKUP(K217,各项评分标准!$17:$18,2,1)),0)</f>
        <v>0</v>
      </c>
      <c r="M217" s="85"/>
      <c r="N217" s="94">
        <f>IF(M217&lt;&gt;"",IF(D217="男",HLOOKUP(M217,各项评分标准!$4:$6,3,1),HLOOKUP(M217,各项评分标准!$5:$6,2,1)),0)</f>
        <v>0</v>
      </c>
      <c r="O217" s="85"/>
      <c r="P217" s="94">
        <f>IF(O217&lt;&gt;"",IF(D217="男",HLOOKUP(O217,各项评分标准!$8:$10,3,1),HLOOKUP(O217,各项评分标准!$9:$10,2,1)),0)</f>
        <v>0</v>
      </c>
      <c r="Q217" s="96">
        <f t="shared" si="11"/>
        <v>0</v>
      </c>
      <c r="R217" s="97">
        <f t="shared" si="12"/>
        <v>0</v>
      </c>
      <c r="S217" s="98"/>
    </row>
    <row r="218" spans="1:19">
      <c r="A218" s="85"/>
      <c r="B218" s="85"/>
      <c r="C218" s="85"/>
      <c r="D218" s="88"/>
      <c r="E218" s="85"/>
      <c r="F218" s="90"/>
      <c r="G218" s="91"/>
      <c r="H218" s="92">
        <f t="shared" si="13"/>
        <v>0</v>
      </c>
      <c r="I218" s="93"/>
      <c r="J218" s="94">
        <f>IF(I218&lt;&gt;"",IF(D218="男",HLOOKUP(I218,各项评分标准!$12:$14,3,1),HLOOKUP(I218,各项评分标准!$13:$14,2,1)),0)</f>
        <v>0</v>
      </c>
      <c r="K218" s="95"/>
      <c r="L218" s="94">
        <f>IF(K218&lt;&gt;"",IF(D218="男",HLOOKUP(K218,各项评分标准!$16:$18,3,1),HLOOKUP(K218,各项评分标准!$17:$18,2,1)),0)</f>
        <v>0</v>
      </c>
      <c r="M218" s="85"/>
      <c r="N218" s="94">
        <f>IF(M218&lt;&gt;"",IF(D218="男",HLOOKUP(M218,各项评分标准!$4:$6,3,1),HLOOKUP(M218,各项评分标准!$5:$6,2,1)),0)</f>
        <v>0</v>
      </c>
      <c r="O218" s="85"/>
      <c r="P218" s="94">
        <f>IF(O218&lt;&gt;"",IF(D218="男",HLOOKUP(O218,各项评分标准!$8:$10,3,1),HLOOKUP(O218,各项评分标准!$9:$10,2,1)),0)</f>
        <v>0</v>
      </c>
      <c r="Q218" s="96">
        <f t="shared" si="11"/>
        <v>0</v>
      </c>
      <c r="R218" s="97">
        <f t="shared" si="12"/>
        <v>0</v>
      </c>
      <c r="S218" s="98"/>
    </row>
    <row r="219" spans="1:19">
      <c r="A219" s="85"/>
      <c r="B219" s="85"/>
      <c r="C219" s="85"/>
      <c r="D219" s="88"/>
      <c r="E219" s="85"/>
      <c r="F219" s="90"/>
      <c r="G219" s="91"/>
      <c r="H219" s="92">
        <f t="shared" si="13"/>
        <v>0</v>
      </c>
      <c r="I219" s="93"/>
      <c r="J219" s="94">
        <f>IF(I219&lt;&gt;"",IF(D219="男",HLOOKUP(I219,各项评分标准!$12:$14,3,1),HLOOKUP(I219,各项评分标准!$13:$14,2,1)),0)</f>
        <v>0</v>
      </c>
      <c r="K219" s="95"/>
      <c r="L219" s="94">
        <f>IF(K219&lt;&gt;"",IF(D219="男",HLOOKUP(K219,各项评分标准!$16:$18,3,1),HLOOKUP(K219,各项评分标准!$17:$18,2,1)),0)</f>
        <v>0</v>
      </c>
      <c r="M219" s="85"/>
      <c r="N219" s="94">
        <f>IF(M219&lt;&gt;"",IF(D219="男",HLOOKUP(M219,各项评分标准!$4:$6,3,1),HLOOKUP(M219,各项评分标准!$5:$6,2,1)),0)</f>
        <v>0</v>
      </c>
      <c r="O219" s="85"/>
      <c r="P219" s="94">
        <f>IF(O219&lt;&gt;"",IF(D219="男",HLOOKUP(O219,各项评分标准!$8:$10,3,1),HLOOKUP(O219,各项评分标准!$9:$10,2,1)),0)</f>
        <v>0</v>
      </c>
      <c r="Q219" s="96">
        <f t="shared" si="11"/>
        <v>0</v>
      </c>
      <c r="R219" s="97">
        <f t="shared" si="12"/>
        <v>0</v>
      </c>
      <c r="S219" s="98"/>
    </row>
    <row r="220" spans="1:19">
      <c r="A220" s="85"/>
      <c r="B220" s="85"/>
      <c r="C220" s="85"/>
      <c r="D220" s="88"/>
      <c r="E220" s="85"/>
      <c r="F220" s="90"/>
      <c r="G220" s="91"/>
      <c r="H220" s="92">
        <f t="shared" si="13"/>
        <v>0</v>
      </c>
      <c r="I220" s="93"/>
      <c r="J220" s="94">
        <f>IF(I220&lt;&gt;"",IF(D220="男",HLOOKUP(I220,各项评分标准!$12:$14,3,1),HLOOKUP(I220,各项评分标准!$13:$14,2,1)),0)</f>
        <v>0</v>
      </c>
      <c r="K220" s="95"/>
      <c r="L220" s="94">
        <f>IF(K220&lt;&gt;"",IF(D220="男",HLOOKUP(K220,各项评分标准!$16:$18,3,1),HLOOKUP(K220,各项评分标准!$17:$18,2,1)),0)</f>
        <v>0</v>
      </c>
      <c r="M220" s="85"/>
      <c r="N220" s="94">
        <f>IF(M220&lt;&gt;"",IF(D220="男",HLOOKUP(M220,各项评分标准!$4:$6,3,1),HLOOKUP(M220,各项评分标准!$5:$6,2,1)),0)</f>
        <v>0</v>
      </c>
      <c r="O220" s="85"/>
      <c r="P220" s="94">
        <f>IF(O220&lt;&gt;"",IF(D220="男",HLOOKUP(O220,各项评分标准!$8:$10,3,1),HLOOKUP(O220,各项评分标准!$9:$10,2,1)),0)</f>
        <v>0</v>
      </c>
      <c r="Q220" s="96">
        <f t="shared" si="11"/>
        <v>0</v>
      </c>
      <c r="R220" s="97">
        <f t="shared" si="12"/>
        <v>0</v>
      </c>
      <c r="S220" s="98"/>
    </row>
    <row r="221" spans="1:19">
      <c r="A221" s="85"/>
      <c r="B221" s="85"/>
      <c r="C221" s="85"/>
      <c r="D221" s="88"/>
      <c r="E221" s="85"/>
      <c r="F221" s="90"/>
      <c r="G221" s="91"/>
      <c r="H221" s="92">
        <f t="shared" si="13"/>
        <v>0</v>
      </c>
      <c r="I221" s="93"/>
      <c r="J221" s="94">
        <f>IF(I221&lt;&gt;"",IF(D221="男",HLOOKUP(I221,各项评分标准!$12:$14,3,1),HLOOKUP(I221,各项评分标准!$13:$14,2,1)),0)</f>
        <v>0</v>
      </c>
      <c r="K221" s="95"/>
      <c r="L221" s="94">
        <f>IF(K221&lt;&gt;"",IF(D221="男",HLOOKUP(K221,各项评分标准!$16:$18,3,1),HLOOKUP(K221,各项评分标准!$17:$18,2,1)),0)</f>
        <v>0</v>
      </c>
      <c r="M221" s="85"/>
      <c r="N221" s="94">
        <f>IF(M221&lt;&gt;"",IF(D221="男",HLOOKUP(M221,各项评分标准!$4:$6,3,1),HLOOKUP(M221,各项评分标准!$5:$6,2,1)),0)</f>
        <v>0</v>
      </c>
      <c r="O221" s="85"/>
      <c r="P221" s="94">
        <f>IF(O221&lt;&gt;"",IF(D221="男",HLOOKUP(O221,各项评分标准!$8:$10,3,1),HLOOKUP(O221,各项评分标准!$9:$10,2,1)),0)</f>
        <v>0</v>
      </c>
      <c r="Q221" s="96">
        <f t="shared" si="11"/>
        <v>0</v>
      </c>
      <c r="R221" s="97">
        <f t="shared" si="12"/>
        <v>0</v>
      </c>
      <c r="S221" s="98"/>
    </row>
    <row r="222" spans="1:19">
      <c r="A222" s="85"/>
      <c r="B222" s="85"/>
      <c r="C222" s="85"/>
      <c r="D222" s="88"/>
      <c r="E222" s="85"/>
      <c r="F222" s="90"/>
      <c r="G222" s="91"/>
      <c r="H222" s="92">
        <f t="shared" si="13"/>
        <v>0</v>
      </c>
      <c r="I222" s="93"/>
      <c r="J222" s="94">
        <f>IF(I222&lt;&gt;"",IF(D222="男",HLOOKUP(I222,各项评分标准!$12:$14,3,1),HLOOKUP(I222,各项评分标准!$13:$14,2,1)),0)</f>
        <v>0</v>
      </c>
      <c r="K222" s="95"/>
      <c r="L222" s="94">
        <f>IF(K222&lt;&gt;"",IF(D222="男",HLOOKUP(K222,各项评分标准!$16:$18,3,1),HLOOKUP(K222,各项评分标准!$17:$18,2,1)),0)</f>
        <v>0</v>
      </c>
      <c r="M222" s="85"/>
      <c r="N222" s="94">
        <f>IF(M222&lt;&gt;"",IF(D222="男",HLOOKUP(M222,各项评分标准!$4:$6,3,1),HLOOKUP(M222,各项评分标准!$5:$6,2,1)),0)</f>
        <v>0</v>
      </c>
      <c r="O222" s="85"/>
      <c r="P222" s="94">
        <f>IF(O222&lt;&gt;"",IF(D222="男",HLOOKUP(O222,各项评分标准!$8:$10,3,1),HLOOKUP(O222,各项评分标准!$9:$10,2,1)),0)</f>
        <v>0</v>
      </c>
      <c r="Q222" s="96">
        <f t="shared" si="11"/>
        <v>0</v>
      </c>
      <c r="R222" s="97">
        <f t="shared" si="12"/>
        <v>0</v>
      </c>
      <c r="S222" s="98"/>
    </row>
    <row r="223" spans="1:19">
      <c r="A223" s="85"/>
      <c r="B223" s="85"/>
      <c r="C223" s="85"/>
      <c r="D223" s="88"/>
      <c r="E223" s="85"/>
      <c r="F223" s="90"/>
      <c r="G223" s="91"/>
      <c r="H223" s="92">
        <f t="shared" si="13"/>
        <v>0</v>
      </c>
      <c r="I223" s="93"/>
      <c r="J223" s="94">
        <f>IF(I223&lt;&gt;"",IF(D223="男",HLOOKUP(I223,各项评分标准!$12:$14,3,1),HLOOKUP(I223,各项评分标准!$13:$14,2,1)),0)</f>
        <v>0</v>
      </c>
      <c r="K223" s="95"/>
      <c r="L223" s="94">
        <f>IF(K223&lt;&gt;"",IF(D223="男",HLOOKUP(K223,各项评分标准!$16:$18,3,1),HLOOKUP(K223,各项评分标准!$17:$18,2,1)),0)</f>
        <v>0</v>
      </c>
      <c r="M223" s="85"/>
      <c r="N223" s="94">
        <f>IF(M223&lt;&gt;"",IF(D223="男",HLOOKUP(M223,各项评分标准!$4:$6,3,1),HLOOKUP(M223,各项评分标准!$5:$6,2,1)),0)</f>
        <v>0</v>
      </c>
      <c r="O223" s="85"/>
      <c r="P223" s="94">
        <f>IF(O223&lt;&gt;"",IF(D223="男",HLOOKUP(O223,各项评分标准!$8:$10,3,1),HLOOKUP(O223,各项评分标准!$9:$10,2,1)),0)</f>
        <v>0</v>
      </c>
      <c r="Q223" s="96">
        <f t="shared" si="11"/>
        <v>0</v>
      </c>
      <c r="R223" s="97">
        <f t="shared" si="12"/>
        <v>0</v>
      </c>
      <c r="S223" s="98"/>
    </row>
    <row r="224" spans="1:19">
      <c r="A224" s="85"/>
      <c r="B224" s="85"/>
      <c r="C224" s="85"/>
      <c r="D224" s="88"/>
      <c r="E224" s="85"/>
      <c r="F224" s="90"/>
      <c r="G224" s="91"/>
      <c r="H224" s="92">
        <f t="shared" si="13"/>
        <v>0</v>
      </c>
      <c r="I224" s="93"/>
      <c r="J224" s="94">
        <f>IF(I224&lt;&gt;"",IF(D224="男",HLOOKUP(I224,各项评分标准!$12:$14,3,1),HLOOKUP(I224,各项评分标准!$13:$14,2,1)),0)</f>
        <v>0</v>
      </c>
      <c r="K224" s="95"/>
      <c r="L224" s="94">
        <f>IF(K224&lt;&gt;"",IF(D224="男",HLOOKUP(K224,各项评分标准!$16:$18,3,1),HLOOKUP(K224,各项评分标准!$17:$18,2,1)),0)</f>
        <v>0</v>
      </c>
      <c r="M224" s="85"/>
      <c r="N224" s="94">
        <f>IF(M224&lt;&gt;"",IF(D224="男",HLOOKUP(M224,各项评分标准!$4:$6,3,1),HLOOKUP(M224,各项评分标准!$5:$6,2,1)),0)</f>
        <v>0</v>
      </c>
      <c r="O224" s="85"/>
      <c r="P224" s="94">
        <f>IF(O224&lt;&gt;"",IF(D224="男",HLOOKUP(O224,各项评分标准!$8:$10,3,1),HLOOKUP(O224,各项评分标准!$9:$10,2,1)),0)</f>
        <v>0</v>
      </c>
      <c r="Q224" s="96">
        <f t="shared" si="11"/>
        <v>0</v>
      </c>
      <c r="R224" s="97">
        <f t="shared" si="12"/>
        <v>0</v>
      </c>
      <c r="S224" s="98"/>
    </row>
    <row r="225" spans="1:19">
      <c r="A225" s="85"/>
      <c r="B225" s="85"/>
      <c r="C225" s="85"/>
      <c r="D225" s="88"/>
      <c r="E225" s="85"/>
      <c r="F225" s="90"/>
      <c r="G225" s="91"/>
      <c r="H225" s="92">
        <f t="shared" si="13"/>
        <v>0</v>
      </c>
      <c r="I225" s="93"/>
      <c r="J225" s="94">
        <f>IF(I225&lt;&gt;"",IF(D225="男",HLOOKUP(I225,各项评分标准!$12:$14,3,1),HLOOKUP(I225,各项评分标准!$13:$14,2,1)),0)</f>
        <v>0</v>
      </c>
      <c r="K225" s="95"/>
      <c r="L225" s="94">
        <f>IF(K225&lt;&gt;"",IF(D225="男",HLOOKUP(K225,各项评分标准!$16:$18,3,1),HLOOKUP(K225,各项评分标准!$17:$18,2,1)),0)</f>
        <v>0</v>
      </c>
      <c r="M225" s="85"/>
      <c r="N225" s="94">
        <f>IF(M225&lt;&gt;"",IF(D225="男",HLOOKUP(M225,各项评分标准!$4:$6,3,1),HLOOKUP(M225,各项评分标准!$5:$6,2,1)),0)</f>
        <v>0</v>
      </c>
      <c r="O225" s="85"/>
      <c r="P225" s="94">
        <f>IF(O225&lt;&gt;"",IF(D225="男",HLOOKUP(O225,各项评分标准!$8:$10,3,1),HLOOKUP(O225,各项评分标准!$9:$10,2,1)),0)</f>
        <v>0</v>
      </c>
      <c r="Q225" s="96">
        <f t="shared" si="11"/>
        <v>0</v>
      </c>
      <c r="R225" s="97">
        <f t="shared" si="12"/>
        <v>0</v>
      </c>
      <c r="S225" s="98"/>
    </row>
    <row r="226" spans="1:19">
      <c r="A226" s="85"/>
      <c r="B226" s="85"/>
      <c r="C226" s="85"/>
      <c r="D226" s="88"/>
      <c r="E226" s="85"/>
      <c r="F226" s="90"/>
      <c r="G226" s="91"/>
      <c r="H226" s="92">
        <f t="shared" si="13"/>
        <v>0</v>
      </c>
      <c r="I226" s="93"/>
      <c r="J226" s="94">
        <f>IF(I226&lt;&gt;"",IF(D226="男",HLOOKUP(I226,各项评分标准!$12:$14,3,1),HLOOKUP(I226,各项评分标准!$13:$14,2,1)),0)</f>
        <v>0</v>
      </c>
      <c r="K226" s="95"/>
      <c r="L226" s="94">
        <f>IF(K226&lt;&gt;"",IF(D226="男",HLOOKUP(K226,各项评分标准!$16:$18,3,1),HLOOKUP(K226,各项评分标准!$17:$18,2,1)),0)</f>
        <v>0</v>
      </c>
      <c r="M226" s="85"/>
      <c r="N226" s="94">
        <f>IF(M226&lt;&gt;"",IF(D226="男",HLOOKUP(M226,各项评分标准!$4:$6,3,1),HLOOKUP(M226,各项评分标准!$5:$6,2,1)),0)</f>
        <v>0</v>
      </c>
      <c r="O226" s="85"/>
      <c r="P226" s="94">
        <f>IF(O226&lt;&gt;"",IF(D226="男",HLOOKUP(O226,各项评分标准!$8:$10,3,1),HLOOKUP(O226,各项评分标准!$9:$10,2,1)),0)</f>
        <v>0</v>
      </c>
      <c r="Q226" s="96">
        <f t="shared" si="11"/>
        <v>0</v>
      </c>
      <c r="R226" s="97">
        <f t="shared" si="12"/>
        <v>0</v>
      </c>
      <c r="S226" s="98"/>
    </row>
    <row r="227" spans="1:19">
      <c r="A227" s="85"/>
      <c r="B227" s="85"/>
      <c r="C227" s="85"/>
      <c r="D227" s="88"/>
      <c r="E227" s="85"/>
      <c r="F227" s="90"/>
      <c r="G227" s="91"/>
      <c r="H227" s="92">
        <f t="shared" si="13"/>
        <v>0</v>
      </c>
      <c r="I227" s="93"/>
      <c r="J227" s="94">
        <f>IF(I227&lt;&gt;"",IF(D227="男",HLOOKUP(I227,各项评分标准!$12:$14,3,1),HLOOKUP(I227,各项评分标准!$13:$14,2,1)),0)</f>
        <v>0</v>
      </c>
      <c r="K227" s="95"/>
      <c r="L227" s="94">
        <f>IF(K227&lt;&gt;"",IF(D227="男",HLOOKUP(K227,各项评分标准!$16:$18,3,1),HLOOKUP(K227,各项评分标准!$17:$18,2,1)),0)</f>
        <v>0</v>
      </c>
      <c r="M227" s="85"/>
      <c r="N227" s="94">
        <f>IF(M227&lt;&gt;"",IF(D227="男",HLOOKUP(M227,各项评分标准!$4:$6,3,1),HLOOKUP(M227,各项评分标准!$5:$6,2,1)),0)</f>
        <v>0</v>
      </c>
      <c r="O227" s="85"/>
      <c r="P227" s="94">
        <f>IF(O227&lt;&gt;"",IF(D227="男",HLOOKUP(O227,各项评分标准!$8:$10,3,1),HLOOKUP(O227,各项评分标准!$9:$10,2,1)),0)</f>
        <v>0</v>
      </c>
      <c r="Q227" s="96">
        <f t="shared" si="11"/>
        <v>0</v>
      </c>
      <c r="R227" s="97">
        <f t="shared" si="12"/>
        <v>0</v>
      </c>
      <c r="S227" s="98"/>
    </row>
    <row r="228" spans="1:19">
      <c r="A228" s="85"/>
      <c r="B228" s="85"/>
      <c r="C228" s="85"/>
      <c r="D228" s="88"/>
      <c r="E228" s="85"/>
      <c r="F228" s="90"/>
      <c r="G228" s="91"/>
      <c r="H228" s="92">
        <f t="shared" si="13"/>
        <v>0</v>
      </c>
      <c r="I228" s="93"/>
      <c r="J228" s="94">
        <f>IF(I228&lt;&gt;"",IF(D228="男",HLOOKUP(I228,各项评分标准!$12:$14,3,1),HLOOKUP(I228,各项评分标准!$13:$14,2,1)),0)</f>
        <v>0</v>
      </c>
      <c r="K228" s="95"/>
      <c r="L228" s="94">
        <f>IF(K228&lt;&gt;"",IF(D228="男",HLOOKUP(K228,各项评分标准!$16:$18,3,1),HLOOKUP(K228,各项评分标准!$17:$18,2,1)),0)</f>
        <v>0</v>
      </c>
      <c r="M228" s="85"/>
      <c r="N228" s="94">
        <f>IF(M228&lt;&gt;"",IF(D228="男",HLOOKUP(M228,各项评分标准!$4:$6,3,1),HLOOKUP(M228,各项评分标准!$5:$6,2,1)),0)</f>
        <v>0</v>
      </c>
      <c r="O228" s="85"/>
      <c r="P228" s="94">
        <f>IF(O228&lt;&gt;"",IF(D228="男",HLOOKUP(O228,各项评分标准!$8:$10,3,1),HLOOKUP(O228,各项评分标准!$9:$10,2,1)),0)</f>
        <v>0</v>
      </c>
      <c r="Q228" s="96">
        <f t="shared" si="11"/>
        <v>0</v>
      </c>
      <c r="R228" s="97">
        <f t="shared" si="12"/>
        <v>0</v>
      </c>
      <c r="S228" s="98"/>
    </row>
    <row r="229" spans="1:19">
      <c r="A229" s="85"/>
      <c r="B229" s="85"/>
      <c r="C229" s="85"/>
      <c r="D229" s="88"/>
      <c r="E229" s="85"/>
      <c r="F229" s="90"/>
      <c r="G229" s="91"/>
      <c r="H229" s="92">
        <f t="shared" si="13"/>
        <v>0</v>
      </c>
      <c r="I229" s="93"/>
      <c r="J229" s="94">
        <f>IF(I229&lt;&gt;"",IF(D229="男",HLOOKUP(I229,各项评分标准!$12:$14,3,1),HLOOKUP(I229,各项评分标准!$13:$14,2,1)),0)</f>
        <v>0</v>
      </c>
      <c r="K229" s="95"/>
      <c r="L229" s="94">
        <f>IF(K229&lt;&gt;"",IF(D229="男",HLOOKUP(K229,各项评分标准!$16:$18,3,1),HLOOKUP(K229,各项评分标准!$17:$18,2,1)),0)</f>
        <v>0</v>
      </c>
      <c r="M229" s="85"/>
      <c r="N229" s="94">
        <f>IF(M229&lt;&gt;"",IF(D229="男",HLOOKUP(M229,各项评分标准!$4:$6,3,1),HLOOKUP(M229,各项评分标准!$5:$6,2,1)),0)</f>
        <v>0</v>
      </c>
      <c r="O229" s="85"/>
      <c r="P229" s="94">
        <f>IF(O229&lt;&gt;"",IF(D229="男",HLOOKUP(O229,各项评分标准!$8:$10,3,1),HLOOKUP(O229,各项评分标准!$9:$10,2,1)),0)</f>
        <v>0</v>
      </c>
      <c r="Q229" s="96">
        <f t="shared" si="11"/>
        <v>0</v>
      </c>
      <c r="R229" s="97">
        <f t="shared" si="12"/>
        <v>0</v>
      </c>
      <c r="S229" s="98"/>
    </row>
    <row r="230" spans="1:19">
      <c r="A230" s="85"/>
      <c r="B230" s="85"/>
      <c r="C230" s="85"/>
      <c r="D230" s="88"/>
      <c r="E230" s="85"/>
      <c r="F230" s="90"/>
      <c r="G230" s="91"/>
      <c r="H230" s="92">
        <f t="shared" si="13"/>
        <v>0</v>
      </c>
      <c r="I230" s="93"/>
      <c r="J230" s="94">
        <f>IF(I230&lt;&gt;"",IF(D230="男",HLOOKUP(I230,各项评分标准!$12:$14,3,1),HLOOKUP(I230,各项评分标准!$13:$14,2,1)),0)</f>
        <v>0</v>
      </c>
      <c r="K230" s="95"/>
      <c r="L230" s="94">
        <f>IF(K230&lt;&gt;"",IF(D230="男",HLOOKUP(K230,各项评分标准!$16:$18,3,1),HLOOKUP(K230,各项评分标准!$17:$18,2,1)),0)</f>
        <v>0</v>
      </c>
      <c r="M230" s="85"/>
      <c r="N230" s="94">
        <f>IF(M230&lt;&gt;"",IF(D230="男",HLOOKUP(M230,各项评分标准!$4:$6,3,1),HLOOKUP(M230,各项评分标准!$5:$6,2,1)),0)</f>
        <v>0</v>
      </c>
      <c r="O230" s="85"/>
      <c r="P230" s="94">
        <f>IF(O230&lt;&gt;"",IF(D230="男",HLOOKUP(O230,各项评分标准!$8:$10,3,1),HLOOKUP(O230,各项评分标准!$9:$10,2,1)),0)</f>
        <v>0</v>
      </c>
      <c r="Q230" s="96">
        <f t="shared" si="11"/>
        <v>0</v>
      </c>
      <c r="R230" s="97">
        <f t="shared" si="12"/>
        <v>0</v>
      </c>
      <c r="S230" s="98"/>
    </row>
    <row r="231" spans="1:19">
      <c r="A231" s="85"/>
      <c r="B231" s="85"/>
      <c r="C231" s="85"/>
      <c r="D231" s="88"/>
      <c r="E231" s="85"/>
      <c r="F231" s="90"/>
      <c r="G231" s="91"/>
      <c r="H231" s="92">
        <f t="shared" si="13"/>
        <v>0</v>
      </c>
      <c r="I231" s="93"/>
      <c r="J231" s="94">
        <f>IF(I231&lt;&gt;"",IF(D231="男",HLOOKUP(I231,各项评分标准!$12:$14,3,1),HLOOKUP(I231,各项评分标准!$13:$14,2,1)),0)</f>
        <v>0</v>
      </c>
      <c r="K231" s="95"/>
      <c r="L231" s="94">
        <f>IF(K231&lt;&gt;"",IF(D231="男",HLOOKUP(K231,各项评分标准!$16:$18,3,1),HLOOKUP(K231,各项评分标准!$17:$18,2,1)),0)</f>
        <v>0</v>
      </c>
      <c r="M231" s="85"/>
      <c r="N231" s="94">
        <f>IF(M231&lt;&gt;"",IF(D231="男",HLOOKUP(M231,各项评分标准!$4:$6,3,1),HLOOKUP(M231,各项评分标准!$5:$6,2,1)),0)</f>
        <v>0</v>
      </c>
      <c r="O231" s="85"/>
      <c r="P231" s="94">
        <f>IF(O231&lt;&gt;"",IF(D231="男",HLOOKUP(O231,各项评分标准!$8:$10,3,1),HLOOKUP(O231,各项评分标准!$9:$10,2,1)),0)</f>
        <v>0</v>
      </c>
      <c r="Q231" s="96">
        <f t="shared" si="11"/>
        <v>0</v>
      </c>
      <c r="R231" s="97">
        <f t="shared" si="12"/>
        <v>0</v>
      </c>
      <c r="S231" s="98"/>
    </row>
    <row r="232" spans="1:19">
      <c r="A232" s="85"/>
      <c r="B232" s="85"/>
      <c r="C232" s="85"/>
      <c r="D232" s="88"/>
      <c r="E232" s="85"/>
      <c r="F232" s="90"/>
      <c r="G232" s="91"/>
      <c r="H232" s="92">
        <f t="shared" si="13"/>
        <v>0</v>
      </c>
      <c r="I232" s="93"/>
      <c r="J232" s="94">
        <f>IF(I232&lt;&gt;"",IF(D232="男",HLOOKUP(I232,各项评分标准!$12:$14,3,1),HLOOKUP(I232,各项评分标准!$13:$14,2,1)),0)</f>
        <v>0</v>
      </c>
      <c r="K232" s="95"/>
      <c r="L232" s="94">
        <f>IF(K232&lt;&gt;"",IF(D232="男",HLOOKUP(K232,各项评分标准!$16:$18,3,1),HLOOKUP(K232,各项评分标准!$17:$18,2,1)),0)</f>
        <v>0</v>
      </c>
      <c r="M232" s="85"/>
      <c r="N232" s="94">
        <f>IF(M232&lt;&gt;"",IF(D232="男",HLOOKUP(M232,各项评分标准!$4:$6,3,1),HLOOKUP(M232,各项评分标准!$5:$6,2,1)),0)</f>
        <v>0</v>
      </c>
      <c r="O232" s="85"/>
      <c r="P232" s="94">
        <f>IF(O232&lt;&gt;"",IF(D232="男",HLOOKUP(O232,各项评分标准!$8:$10,3,1),HLOOKUP(O232,各项评分标准!$9:$10,2,1)),0)</f>
        <v>0</v>
      </c>
      <c r="Q232" s="96">
        <f t="shared" si="11"/>
        <v>0</v>
      </c>
      <c r="R232" s="97">
        <f t="shared" si="12"/>
        <v>0</v>
      </c>
      <c r="S232" s="98"/>
    </row>
    <row r="233" spans="1:19">
      <c r="A233" s="85"/>
      <c r="B233" s="85"/>
      <c r="C233" s="85"/>
      <c r="D233" s="88"/>
      <c r="E233" s="85"/>
      <c r="F233" s="90"/>
      <c r="G233" s="91"/>
      <c r="H233" s="92">
        <f t="shared" si="13"/>
        <v>0</v>
      </c>
      <c r="I233" s="93"/>
      <c r="J233" s="94">
        <f>IF(I233&lt;&gt;"",IF(D233="男",HLOOKUP(I233,各项评分标准!$12:$14,3,1),HLOOKUP(I233,各项评分标准!$13:$14,2,1)),0)</f>
        <v>0</v>
      </c>
      <c r="K233" s="95"/>
      <c r="L233" s="94">
        <f>IF(K233&lt;&gt;"",IF(D233="男",HLOOKUP(K233,各项评分标准!$16:$18,3,1),HLOOKUP(K233,各项评分标准!$17:$18,2,1)),0)</f>
        <v>0</v>
      </c>
      <c r="M233" s="85"/>
      <c r="N233" s="94">
        <f>IF(M233&lt;&gt;"",IF(D233="男",HLOOKUP(M233,各项评分标准!$4:$6,3,1),HLOOKUP(M233,各项评分标准!$5:$6,2,1)),0)</f>
        <v>0</v>
      </c>
      <c r="O233" s="85"/>
      <c r="P233" s="94">
        <f>IF(O233&lt;&gt;"",IF(D233="男",HLOOKUP(O233,各项评分标准!$8:$10,3,1),HLOOKUP(O233,各项评分标准!$9:$10,2,1)),0)</f>
        <v>0</v>
      </c>
      <c r="Q233" s="96">
        <f t="shared" si="11"/>
        <v>0</v>
      </c>
      <c r="R233" s="97">
        <f t="shared" si="12"/>
        <v>0</v>
      </c>
      <c r="S233" s="98"/>
    </row>
    <row r="234" spans="1:19">
      <c r="A234" s="85"/>
      <c r="B234" s="85"/>
      <c r="C234" s="85"/>
      <c r="D234" s="88"/>
      <c r="E234" s="85"/>
      <c r="F234" s="90"/>
      <c r="G234" s="91"/>
      <c r="H234" s="92">
        <f t="shared" si="13"/>
        <v>0</v>
      </c>
      <c r="I234" s="93"/>
      <c r="J234" s="94">
        <f>IF(I234&lt;&gt;"",IF(D234="男",HLOOKUP(I234,各项评分标准!$12:$14,3,1),HLOOKUP(I234,各项评分标准!$13:$14,2,1)),0)</f>
        <v>0</v>
      </c>
      <c r="K234" s="95"/>
      <c r="L234" s="94">
        <f>IF(K234&lt;&gt;"",IF(D234="男",HLOOKUP(K234,各项评分标准!$16:$18,3,1),HLOOKUP(K234,各项评分标准!$17:$18,2,1)),0)</f>
        <v>0</v>
      </c>
      <c r="M234" s="85"/>
      <c r="N234" s="94">
        <f>IF(M234&lt;&gt;"",IF(D234="男",HLOOKUP(M234,各项评分标准!$4:$6,3,1),HLOOKUP(M234,各项评分标准!$5:$6,2,1)),0)</f>
        <v>0</v>
      </c>
      <c r="O234" s="85"/>
      <c r="P234" s="94">
        <f>IF(O234&lt;&gt;"",IF(D234="男",HLOOKUP(O234,各项评分标准!$8:$10,3,1),HLOOKUP(O234,各项评分标准!$9:$10,2,1)),0)</f>
        <v>0</v>
      </c>
      <c r="Q234" s="96">
        <f t="shared" si="11"/>
        <v>0</v>
      </c>
      <c r="R234" s="97">
        <f t="shared" si="12"/>
        <v>0</v>
      </c>
      <c r="S234" s="98"/>
    </row>
    <row r="235" spans="1:19">
      <c r="A235" s="85"/>
      <c r="B235" s="85"/>
      <c r="C235" s="85"/>
      <c r="D235" s="88"/>
      <c r="E235" s="85"/>
      <c r="F235" s="90"/>
      <c r="G235" s="91"/>
      <c r="H235" s="92">
        <f t="shared" si="13"/>
        <v>0</v>
      </c>
      <c r="I235" s="93"/>
      <c r="J235" s="94">
        <f>IF(I235&lt;&gt;"",IF(D235="男",HLOOKUP(I235,各项评分标准!$12:$14,3,1),HLOOKUP(I235,各项评分标准!$13:$14,2,1)),0)</f>
        <v>0</v>
      </c>
      <c r="K235" s="95"/>
      <c r="L235" s="94">
        <f>IF(K235&lt;&gt;"",IF(D235="男",HLOOKUP(K235,各项评分标准!$16:$18,3,1),HLOOKUP(K235,各项评分标准!$17:$18,2,1)),0)</f>
        <v>0</v>
      </c>
      <c r="M235" s="85"/>
      <c r="N235" s="94">
        <f>IF(M235&lt;&gt;"",IF(D235="男",HLOOKUP(M235,各项评分标准!$4:$6,3,1),HLOOKUP(M235,各项评分标准!$5:$6,2,1)),0)</f>
        <v>0</v>
      </c>
      <c r="O235" s="85"/>
      <c r="P235" s="94">
        <f>IF(O235&lt;&gt;"",IF(D235="男",HLOOKUP(O235,各项评分标准!$8:$10,3,1),HLOOKUP(O235,各项评分标准!$9:$10,2,1)),0)</f>
        <v>0</v>
      </c>
      <c r="Q235" s="96">
        <f t="shared" si="11"/>
        <v>0</v>
      </c>
      <c r="R235" s="97">
        <f t="shared" si="12"/>
        <v>0</v>
      </c>
      <c r="S235" s="98"/>
    </row>
    <row r="236" spans="1:19">
      <c r="A236" s="85"/>
      <c r="B236" s="85"/>
      <c r="C236" s="85"/>
      <c r="D236" s="88"/>
      <c r="E236" s="85"/>
      <c r="F236" s="90"/>
      <c r="G236" s="91"/>
      <c r="H236" s="92">
        <f t="shared" si="13"/>
        <v>0</v>
      </c>
      <c r="I236" s="93"/>
      <c r="J236" s="94">
        <f>IF(I236&lt;&gt;"",IF(D236="男",HLOOKUP(I236,各项评分标准!$12:$14,3,1),HLOOKUP(I236,各项评分标准!$13:$14,2,1)),0)</f>
        <v>0</v>
      </c>
      <c r="K236" s="95"/>
      <c r="L236" s="94">
        <f>IF(K236&lt;&gt;"",IF(D236="男",HLOOKUP(K236,各项评分标准!$16:$18,3,1),HLOOKUP(K236,各项评分标准!$17:$18,2,1)),0)</f>
        <v>0</v>
      </c>
      <c r="M236" s="85"/>
      <c r="N236" s="94">
        <f>IF(M236&lt;&gt;"",IF(D236="男",HLOOKUP(M236,各项评分标准!$4:$6,3,1),HLOOKUP(M236,各项评分标准!$5:$6,2,1)),0)</f>
        <v>0</v>
      </c>
      <c r="O236" s="85"/>
      <c r="P236" s="94">
        <f>IF(O236&lt;&gt;"",IF(D236="男",HLOOKUP(O236,各项评分标准!$8:$10,3,1),HLOOKUP(O236,各项评分标准!$9:$10,2,1)),0)</f>
        <v>0</v>
      </c>
      <c r="Q236" s="96">
        <f t="shared" si="11"/>
        <v>0</v>
      </c>
      <c r="R236" s="97">
        <f t="shared" si="12"/>
        <v>0</v>
      </c>
      <c r="S236" s="98"/>
    </row>
    <row r="237" spans="1:19">
      <c r="A237" s="85"/>
      <c r="B237" s="85"/>
      <c r="C237" s="85"/>
      <c r="D237" s="88"/>
      <c r="E237" s="85"/>
      <c r="F237" s="90"/>
      <c r="G237" s="91"/>
      <c r="H237" s="92">
        <f t="shared" si="13"/>
        <v>0</v>
      </c>
      <c r="I237" s="93"/>
      <c r="J237" s="94">
        <f>IF(I237&lt;&gt;"",IF(D237="男",HLOOKUP(I237,各项评分标准!$12:$14,3,1),HLOOKUP(I237,各项评分标准!$13:$14,2,1)),0)</f>
        <v>0</v>
      </c>
      <c r="K237" s="95"/>
      <c r="L237" s="94">
        <f>IF(K237&lt;&gt;"",IF(D237="男",HLOOKUP(K237,各项评分标准!$16:$18,3,1),HLOOKUP(K237,各项评分标准!$17:$18,2,1)),0)</f>
        <v>0</v>
      </c>
      <c r="M237" s="85"/>
      <c r="N237" s="94">
        <f>IF(M237&lt;&gt;"",IF(D237="男",HLOOKUP(M237,各项评分标准!$4:$6,3,1),HLOOKUP(M237,各项评分标准!$5:$6,2,1)),0)</f>
        <v>0</v>
      </c>
      <c r="O237" s="85"/>
      <c r="P237" s="94">
        <f>IF(O237&lt;&gt;"",IF(D237="男",HLOOKUP(O237,各项评分标准!$8:$10,3,1),HLOOKUP(O237,各项评分标准!$9:$10,2,1)),0)</f>
        <v>0</v>
      </c>
      <c r="Q237" s="96">
        <f t="shared" si="11"/>
        <v>0</v>
      </c>
      <c r="R237" s="97">
        <f t="shared" si="12"/>
        <v>0</v>
      </c>
      <c r="S237" s="98"/>
    </row>
    <row r="238" spans="1:19">
      <c r="A238" s="85"/>
      <c r="B238" s="85"/>
      <c r="C238" s="85"/>
      <c r="D238" s="88"/>
      <c r="E238" s="85"/>
      <c r="F238" s="90"/>
      <c r="G238" s="91"/>
      <c r="H238" s="92">
        <f t="shared" si="13"/>
        <v>0</v>
      </c>
      <c r="I238" s="93"/>
      <c r="J238" s="94">
        <f>IF(I238&lt;&gt;"",IF(D238="男",HLOOKUP(I238,各项评分标准!$12:$14,3,1),HLOOKUP(I238,各项评分标准!$13:$14,2,1)),0)</f>
        <v>0</v>
      </c>
      <c r="K238" s="95"/>
      <c r="L238" s="94">
        <f>IF(K238&lt;&gt;"",IF(D238="男",HLOOKUP(K238,各项评分标准!$16:$18,3,1),HLOOKUP(K238,各项评分标准!$17:$18,2,1)),0)</f>
        <v>0</v>
      </c>
      <c r="M238" s="85"/>
      <c r="N238" s="94">
        <f>IF(M238&lt;&gt;"",IF(D238="男",HLOOKUP(M238,各项评分标准!$4:$6,3,1),HLOOKUP(M238,各项评分标准!$5:$6,2,1)),0)</f>
        <v>0</v>
      </c>
      <c r="O238" s="85"/>
      <c r="P238" s="94">
        <f>IF(O238&lt;&gt;"",IF(D238="男",HLOOKUP(O238,各项评分标准!$8:$10,3,1),HLOOKUP(O238,各项评分标准!$9:$10,2,1)),0)</f>
        <v>0</v>
      </c>
      <c r="Q238" s="96">
        <f t="shared" si="11"/>
        <v>0</v>
      </c>
      <c r="R238" s="97">
        <f t="shared" si="12"/>
        <v>0</v>
      </c>
      <c r="S238" s="98"/>
    </row>
    <row r="239" spans="1:19">
      <c r="A239" s="85"/>
      <c r="B239" s="85"/>
      <c r="C239" s="85"/>
      <c r="D239" s="88"/>
      <c r="E239" s="85"/>
      <c r="F239" s="90"/>
      <c r="G239" s="91"/>
      <c r="H239" s="92">
        <f t="shared" si="13"/>
        <v>0</v>
      </c>
      <c r="I239" s="93"/>
      <c r="J239" s="94">
        <f>IF(I239&lt;&gt;"",IF(D239="男",HLOOKUP(I239,各项评分标准!$12:$14,3,1),HLOOKUP(I239,各项评分标准!$13:$14,2,1)),0)</f>
        <v>0</v>
      </c>
      <c r="K239" s="95"/>
      <c r="L239" s="94">
        <f>IF(K239&lt;&gt;"",IF(D239="男",HLOOKUP(K239,各项评分标准!$16:$18,3,1),HLOOKUP(K239,各项评分标准!$17:$18,2,1)),0)</f>
        <v>0</v>
      </c>
      <c r="M239" s="85"/>
      <c r="N239" s="94">
        <f>IF(M239&lt;&gt;"",IF(D239="男",HLOOKUP(M239,各项评分标准!$4:$6,3,1),HLOOKUP(M239,各项评分标准!$5:$6,2,1)),0)</f>
        <v>0</v>
      </c>
      <c r="O239" s="85"/>
      <c r="P239" s="94">
        <f>IF(O239&lt;&gt;"",IF(D239="男",HLOOKUP(O239,各项评分标准!$8:$10,3,1),HLOOKUP(O239,各项评分标准!$9:$10,2,1)),0)</f>
        <v>0</v>
      </c>
      <c r="Q239" s="96">
        <f t="shared" si="11"/>
        <v>0</v>
      </c>
      <c r="R239" s="97">
        <f t="shared" si="12"/>
        <v>0</v>
      </c>
      <c r="S239" s="98"/>
    </row>
    <row r="240" spans="1:19">
      <c r="A240" s="85"/>
      <c r="B240" s="85"/>
      <c r="C240" s="85"/>
      <c r="D240" s="88"/>
      <c r="E240" s="85"/>
      <c r="F240" s="90"/>
      <c r="G240" s="91"/>
      <c r="H240" s="92">
        <f t="shared" si="13"/>
        <v>0</v>
      </c>
      <c r="I240" s="93"/>
      <c r="J240" s="94">
        <f>IF(I240&lt;&gt;"",IF(D240="男",HLOOKUP(I240,各项评分标准!$12:$14,3,1),HLOOKUP(I240,各项评分标准!$13:$14,2,1)),0)</f>
        <v>0</v>
      </c>
      <c r="K240" s="95"/>
      <c r="L240" s="94">
        <f>IF(K240&lt;&gt;"",IF(D240="男",HLOOKUP(K240,各项评分标准!$16:$18,3,1),HLOOKUP(K240,各项评分标准!$17:$18,2,1)),0)</f>
        <v>0</v>
      </c>
      <c r="M240" s="85"/>
      <c r="N240" s="94">
        <f>IF(M240&lt;&gt;"",IF(D240="男",HLOOKUP(M240,各项评分标准!$4:$6,3,1),HLOOKUP(M240,各项评分标准!$5:$6,2,1)),0)</f>
        <v>0</v>
      </c>
      <c r="O240" s="85"/>
      <c r="P240" s="94">
        <f>IF(O240&lt;&gt;"",IF(D240="男",HLOOKUP(O240,各项评分标准!$8:$10,3,1),HLOOKUP(O240,各项评分标准!$9:$10,2,1)),0)</f>
        <v>0</v>
      </c>
      <c r="Q240" s="96">
        <f t="shared" si="11"/>
        <v>0</v>
      </c>
      <c r="R240" s="97">
        <f t="shared" si="12"/>
        <v>0</v>
      </c>
      <c r="S240" s="100"/>
    </row>
    <row r="241" spans="1:19">
      <c r="A241" s="85"/>
      <c r="B241" s="85"/>
      <c r="C241" s="85"/>
      <c r="D241" s="88"/>
      <c r="E241" s="85"/>
      <c r="F241" s="90"/>
      <c r="G241" s="91"/>
      <c r="H241" s="92">
        <f t="shared" si="13"/>
        <v>0</v>
      </c>
      <c r="I241" s="93"/>
      <c r="J241" s="94">
        <f>IF(I241&lt;&gt;"",IF(D241="男",HLOOKUP(I241,各项评分标准!$12:$14,3,1),HLOOKUP(I241,各项评分标准!$13:$14,2,1)),0)</f>
        <v>0</v>
      </c>
      <c r="K241" s="95"/>
      <c r="L241" s="94">
        <f>IF(K241&lt;&gt;"",IF(D241="男",HLOOKUP(K241,各项评分标准!$16:$18,3,1),HLOOKUP(K241,各项评分标准!$17:$18,2,1)),0)</f>
        <v>0</v>
      </c>
      <c r="M241" s="85"/>
      <c r="N241" s="94">
        <f>IF(M241&lt;&gt;"",IF(D241="男",HLOOKUP(M241,各项评分标准!$4:$6,3,1),HLOOKUP(M241,各项评分标准!$5:$6,2,1)),0)</f>
        <v>0</v>
      </c>
      <c r="O241" s="85"/>
      <c r="P241" s="94">
        <f>IF(O241&lt;&gt;"",IF(D241="男",HLOOKUP(O241,各项评分标准!$8:$10,3,1),HLOOKUP(O241,各项评分标准!$9:$10,2,1)),0)</f>
        <v>0</v>
      </c>
      <c r="Q241" s="96">
        <f t="shared" si="11"/>
        <v>0</v>
      </c>
      <c r="R241" s="97">
        <f t="shared" si="12"/>
        <v>0</v>
      </c>
      <c r="S241" s="98"/>
    </row>
    <row r="242" spans="1:19">
      <c r="A242" s="85"/>
      <c r="B242" s="85"/>
      <c r="C242" s="85"/>
      <c r="D242" s="88"/>
      <c r="E242" s="85"/>
      <c r="F242" s="90"/>
      <c r="G242" s="91"/>
      <c r="H242" s="92">
        <f t="shared" si="13"/>
        <v>0</v>
      </c>
      <c r="I242" s="93"/>
      <c r="J242" s="94">
        <f>IF(I242&lt;&gt;"",IF(D242="男",HLOOKUP(I242,各项评分标准!$12:$14,3,1),HLOOKUP(I242,各项评分标准!$13:$14,2,1)),0)</f>
        <v>0</v>
      </c>
      <c r="K242" s="95"/>
      <c r="L242" s="94">
        <f>IF(K242&lt;&gt;"",IF(D242="男",HLOOKUP(K242,各项评分标准!$16:$18,3,1),HLOOKUP(K242,各项评分标准!$17:$18,2,1)),0)</f>
        <v>0</v>
      </c>
      <c r="M242" s="85"/>
      <c r="N242" s="94">
        <f>IF(M242&lt;&gt;"",IF(D242="男",HLOOKUP(M242,各项评分标准!$4:$6,3,1),HLOOKUP(M242,各项评分标准!$5:$6,2,1)),0)</f>
        <v>0</v>
      </c>
      <c r="O242" s="85"/>
      <c r="P242" s="94">
        <f>IF(O242&lt;&gt;"",IF(D242="男",HLOOKUP(O242,各项评分标准!$8:$10,3,1),HLOOKUP(O242,各项评分标准!$9:$10,2,1)),0)</f>
        <v>0</v>
      </c>
      <c r="Q242" s="96">
        <f t="shared" si="11"/>
        <v>0</v>
      </c>
      <c r="R242" s="97">
        <f t="shared" si="12"/>
        <v>0</v>
      </c>
      <c r="S242" s="98"/>
    </row>
    <row r="243" spans="1:19">
      <c r="A243" s="85"/>
      <c r="B243" s="85"/>
      <c r="C243" s="85"/>
      <c r="D243" s="88"/>
      <c r="E243" s="85"/>
      <c r="F243" s="90"/>
      <c r="G243" s="91"/>
      <c r="H243" s="92">
        <f t="shared" si="13"/>
        <v>0</v>
      </c>
      <c r="I243" s="93"/>
      <c r="J243" s="94">
        <f>IF(I243&lt;&gt;"",IF(D243="男",HLOOKUP(I243,各项评分标准!$12:$14,3,1),HLOOKUP(I243,各项评分标准!$13:$14,2,1)),0)</f>
        <v>0</v>
      </c>
      <c r="K243" s="95"/>
      <c r="L243" s="94">
        <f>IF(K243&lt;&gt;"",IF(D243="男",HLOOKUP(K243,各项评分标准!$16:$18,3,1),HLOOKUP(K243,各项评分标准!$17:$18,2,1)),0)</f>
        <v>0</v>
      </c>
      <c r="M243" s="85"/>
      <c r="N243" s="94">
        <f>IF(M243&lt;&gt;"",IF(D243="男",HLOOKUP(M243,各项评分标准!$4:$6,3,1),HLOOKUP(M243,各项评分标准!$5:$6,2,1)),0)</f>
        <v>0</v>
      </c>
      <c r="O243" s="85"/>
      <c r="P243" s="94">
        <f>IF(O243&lt;&gt;"",IF(D243="男",HLOOKUP(O243,各项评分标准!$8:$10,3,1),HLOOKUP(O243,各项评分标准!$9:$10,2,1)),0)</f>
        <v>0</v>
      </c>
      <c r="Q243" s="96">
        <f t="shared" si="11"/>
        <v>0</v>
      </c>
      <c r="R243" s="97">
        <f t="shared" si="12"/>
        <v>0</v>
      </c>
      <c r="S243" s="98"/>
    </row>
    <row r="244" spans="1:19">
      <c r="A244" s="85"/>
      <c r="B244" s="85"/>
      <c r="C244" s="85"/>
      <c r="D244" s="88"/>
      <c r="E244" s="85"/>
      <c r="F244" s="90"/>
      <c r="G244" s="91"/>
      <c r="H244" s="92">
        <f t="shared" si="13"/>
        <v>0</v>
      </c>
      <c r="I244" s="93"/>
      <c r="J244" s="94">
        <f>IF(I244&lt;&gt;"",IF(D244="男",HLOOKUP(I244,各项评分标准!$12:$14,3,1),HLOOKUP(I244,各项评分标准!$13:$14,2,1)),0)</f>
        <v>0</v>
      </c>
      <c r="K244" s="95"/>
      <c r="L244" s="94">
        <f>IF(K244&lt;&gt;"",IF(D244="男",HLOOKUP(K244,各项评分标准!$16:$18,3,1),HLOOKUP(K244,各项评分标准!$17:$18,2,1)),0)</f>
        <v>0</v>
      </c>
      <c r="M244" s="85"/>
      <c r="N244" s="94">
        <f>IF(M244&lt;&gt;"",IF(D244="男",HLOOKUP(M244,各项评分标准!$4:$6,3,1),HLOOKUP(M244,各项评分标准!$5:$6,2,1)),0)</f>
        <v>0</v>
      </c>
      <c r="O244" s="85"/>
      <c r="P244" s="94">
        <f>IF(O244&lt;&gt;"",IF(D244="男",HLOOKUP(O244,各项评分标准!$8:$10,3,1),HLOOKUP(O244,各项评分标准!$9:$10,2,1)),0)</f>
        <v>0</v>
      </c>
      <c r="Q244" s="96">
        <f t="shared" si="11"/>
        <v>0</v>
      </c>
      <c r="R244" s="97">
        <f t="shared" si="12"/>
        <v>0</v>
      </c>
      <c r="S244" s="98"/>
    </row>
    <row r="245" spans="1:19">
      <c r="A245" s="85"/>
      <c r="B245" s="85"/>
      <c r="C245" s="85"/>
      <c r="D245" s="88"/>
      <c r="E245" s="85"/>
      <c r="F245" s="90"/>
      <c r="G245" s="91"/>
      <c r="H245" s="92">
        <f t="shared" si="13"/>
        <v>0</v>
      </c>
      <c r="I245" s="93"/>
      <c r="J245" s="94">
        <f>IF(I245&lt;&gt;"",IF(D245="男",HLOOKUP(I245,各项评分标准!$12:$14,3,1),HLOOKUP(I245,各项评分标准!$13:$14,2,1)),0)</f>
        <v>0</v>
      </c>
      <c r="K245" s="95"/>
      <c r="L245" s="94">
        <f>IF(K245&lt;&gt;"",IF(D245="男",HLOOKUP(K245,各项评分标准!$16:$18,3,1),HLOOKUP(K245,各项评分标准!$17:$18,2,1)),0)</f>
        <v>0</v>
      </c>
      <c r="M245" s="85"/>
      <c r="N245" s="94">
        <f>IF(M245&lt;&gt;"",IF(D245="男",HLOOKUP(M245,各项评分标准!$4:$6,3,1),HLOOKUP(M245,各项评分标准!$5:$6,2,1)),0)</f>
        <v>0</v>
      </c>
      <c r="O245" s="85"/>
      <c r="P245" s="94">
        <f>IF(O245&lt;&gt;"",IF(D245="男",HLOOKUP(O245,各项评分标准!$8:$10,3,1),HLOOKUP(O245,各项评分标准!$9:$10,2,1)),0)</f>
        <v>0</v>
      </c>
      <c r="Q245" s="96">
        <f t="shared" si="11"/>
        <v>0</v>
      </c>
      <c r="R245" s="97">
        <f t="shared" si="12"/>
        <v>0</v>
      </c>
      <c r="S245" s="98"/>
    </row>
    <row r="246" spans="1:19">
      <c r="A246" s="85"/>
      <c r="B246" s="85"/>
      <c r="C246" s="85"/>
      <c r="D246" s="88"/>
      <c r="E246" s="85"/>
      <c r="F246" s="90"/>
      <c r="G246" s="91"/>
      <c r="H246" s="92">
        <f t="shared" si="13"/>
        <v>0</v>
      </c>
      <c r="I246" s="93"/>
      <c r="J246" s="94">
        <f>IF(I246&lt;&gt;"",IF(D246="男",HLOOKUP(I246,各项评分标准!$12:$14,3,1),HLOOKUP(I246,各项评分标准!$13:$14,2,1)),0)</f>
        <v>0</v>
      </c>
      <c r="K246" s="95"/>
      <c r="L246" s="94">
        <f>IF(K246&lt;&gt;"",IF(D246="男",HLOOKUP(K246,各项评分标准!$16:$18,3,1),HLOOKUP(K246,各项评分标准!$17:$18,2,1)),0)</f>
        <v>0</v>
      </c>
      <c r="M246" s="85"/>
      <c r="N246" s="94">
        <f>IF(M246&lt;&gt;"",IF(D246="男",HLOOKUP(M246,各项评分标准!$4:$6,3,1),HLOOKUP(M246,各项评分标准!$5:$6,2,1)),0)</f>
        <v>0</v>
      </c>
      <c r="O246" s="85"/>
      <c r="P246" s="94">
        <f>IF(O246&lt;&gt;"",IF(D246="男",HLOOKUP(O246,各项评分标准!$8:$10,3,1),HLOOKUP(O246,各项评分标准!$9:$10,2,1)),0)</f>
        <v>0</v>
      </c>
      <c r="Q246" s="96">
        <f t="shared" si="11"/>
        <v>0</v>
      </c>
      <c r="R246" s="97">
        <f t="shared" si="12"/>
        <v>0</v>
      </c>
      <c r="S246" s="98"/>
    </row>
    <row r="247" spans="1:19">
      <c r="A247" s="85"/>
      <c r="B247" s="85"/>
      <c r="C247" s="85"/>
      <c r="D247" s="88"/>
      <c r="E247" s="85"/>
      <c r="F247" s="90"/>
      <c r="G247" s="91"/>
      <c r="H247" s="92">
        <f t="shared" si="13"/>
        <v>0</v>
      </c>
      <c r="I247" s="93"/>
      <c r="J247" s="94">
        <f>IF(I247&lt;&gt;"",IF(D247="男",HLOOKUP(I247,各项评分标准!$12:$14,3,1),HLOOKUP(I247,各项评分标准!$13:$14,2,1)),0)</f>
        <v>0</v>
      </c>
      <c r="K247" s="95"/>
      <c r="L247" s="94">
        <f>IF(K247&lt;&gt;"",IF(D247="男",HLOOKUP(K247,各项评分标准!$16:$18,3,1),HLOOKUP(K247,各项评分标准!$17:$18,2,1)),0)</f>
        <v>0</v>
      </c>
      <c r="M247" s="85"/>
      <c r="N247" s="94">
        <f>IF(M247&lt;&gt;"",IF(D247="男",HLOOKUP(M247,各项评分标准!$4:$6,3,1),HLOOKUP(M247,各项评分标准!$5:$6,2,1)),0)</f>
        <v>0</v>
      </c>
      <c r="O247" s="85"/>
      <c r="P247" s="94">
        <f>IF(O247&lt;&gt;"",IF(D247="男",HLOOKUP(O247,各项评分标准!$8:$10,3,1),HLOOKUP(O247,各项评分标准!$9:$10,2,1)),0)</f>
        <v>0</v>
      </c>
      <c r="Q247" s="96">
        <f t="shared" si="11"/>
        <v>0</v>
      </c>
      <c r="R247" s="97">
        <f t="shared" si="12"/>
        <v>0</v>
      </c>
      <c r="S247" s="98"/>
    </row>
    <row r="248" spans="1:19">
      <c r="A248" s="85"/>
      <c r="B248" s="85"/>
      <c r="C248" s="85"/>
      <c r="D248" s="88"/>
      <c r="E248" s="85"/>
      <c r="F248" s="90"/>
      <c r="G248" s="91"/>
      <c r="H248" s="92">
        <f t="shared" si="13"/>
        <v>0</v>
      </c>
      <c r="I248" s="93"/>
      <c r="J248" s="94">
        <f>IF(I248&lt;&gt;"",IF(D248="男",HLOOKUP(I248,各项评分标准!$12:$14,3,1),HLOOKUP(I248,各项评分标准!$13:$14,2,1)),0)</f>
        <v>0</v>
      </c>
      <c r="K248" s="95"/>
      <c r="L248" s="94">
        <f>IF(K248&lt;&gt;"",IF(D248="男",HLOOKUP(K248,各项评分标准!$16:$18,3,1),HLOOKUP(K248,各项评分标准!$17:$18,2,1)),0)</f>
        <v>0</v>
      </c>
      <c r="M248" s="85"/>
      <c r="N248" s="94">
        <f>IF(M248&lt;&gt;"",IF(D248="男",HLOOKUP(M248,各项评分标准!$4:$6,3,1),HLOOKUP(M248,各项评分标准!$5:$6,2,1)),0)</f>
        <v>0</v>
      </c>
      <c r="O248" s="85"/>
      <c r="P248" s="94">
        <f>IF(O248&lt;&gt;"",IF(D248="男",HLOOKUP(O248,各项评分标准!$8:$10,3,1),HLOOKUP(O248,各项评分标准!$9:$10,2,1)),0)</f>
        <v>0</v>
      </c>
      <c r="Q248" s="96">
        <f t="shared" si="11"/>
        <v>0</v>
      </c>
      <c r="R248" s="97">
        <f t="shared" si="12"/>
        <v>0</v>
      </c>
      <c r="S248" s="98"/>
    </row>
    <row r="249" spans="1:19">
      <c r="A249" s="85"/>
      <c r="B249" s="85"/>
      <c r="C249" s="85"/>
      <c r="D249" s="88"/>
      <c r="E249" s="85"/>
      <c r="F249" s="90"/>
      <c r="G249" s="91"/>
      <c r="H249" s="92">
        <f t="shared" si="13"/>
        <v>0</v>
      </c>
      <c r="I249" s="93"/>
      <c r="J249" s="94">
        <f>IF(I249&lt;&gt;"",IF(D249="男",HLOOKUP(I249,各项评分标准!$12:$14,3,1),HLOOKUP(I249,各项评分标准!$13:$14,2,1)),0)</f>
        <v>0</v>
      </c>
      <c r="K249" s="95"/>
      <c r="L249" s="94">
        <f>IF(K249&lt;&gt;"",IF(D249="男",HLOOKUP(K249,各项评分标准!$16:$18,3,1),HLOOKUP(K249,各项评分标准!$17:$18,2,1)),0)</f>
        <v>0</v>
      </c>
      <c r="M249" s="85"/>
      <c r="N249" s="94">
        <f>IF(M249&lt;&gt;"",IF(D249="男",HLOOKUP(M249,各项评分标准!$4:$6,3,1),HLOOKUP(M249,各项评分标准!$5:$6,2,1)),0)</f>
        <v>0</v>
      </c>
      <c r="O249" s="85"/>
      <c r="P249" s="94">
        <f>IF(O249&lt;&gt;"",IF(D249="男",HLOOKUP(O249,各项评分标准!$8:$10,3,1),HLOOKUP(O249,各项评分标准!$9:$10,2,1)),0)</f>
        <v>0</v>
      </c>
      <c r="Q249" s="96">
        <f t="shared" si="11"/>
        <v>0</v>
      </c>
      <c r="R249" s="97">
        <f t="shared" si="12"/>
        <v>0</v>
      </c>
      <c r="S249" s="98"/>
    </row>
    <row r="250" spans="1:19">
      <c r="A250" s="85"/>
      <c r="B250" s="85"/>
      <c r="C250" s="85"/>
      <c r="D250" s="88"/>
      <c r="E250" s="85"/>
      <c r="F250" s="90"/>
      <c r="G250" s="91"/>
      <c r="H250" s="92">
        <f t="shared" si="13"/>
        <v>0</v>
      </c>
      <c r="I250" s="93"/>
      <c r="J250" s="94">
        <f>IF(I250&lt;&gt;"",IF(D250="男",HLOOKUP(I250,各项评分标准!$12:$14,3,1),HLOOKUP(I250,各项评分标准!$13:$14,2,1)),0)</f>
        <v>0</v>
      </c>
      <c r="K250" s="95"/>
      <c r="L250" s="94">
        <f>IF(K250&lt;&gt;"",IF(D250="男",HLOOKUP(K250,各项评分标准!$16:$18,3,1),HLOOKUP(K250,各项评分标准!$17:$18,2,1)),0)</f>
        <v>0</v>
      </c>
      <c r="M250" s="85"/>
      <c r="N250" s="94">
        <f>IF(M250&lt;&gt;"",IF(D250="男",HLOOKUP(M250,各项评分标准!$4:$6,3,1),HLOOKUP(M250,各项评分标准!$5:$6,2,1)),0)</f>
        <v>0</v>
      </c>
      <c r="O250" s="85"/>
      <c r="P250" s="94">
        <f>IF(O250&lt;&gt;"",IF(D250="男",HLOOKUP(O250,各项评分标准!$8:$10,3,1),HLOOKUP(O250,各项评分标准!$9:$10,2,1)),0)</f>
        <v>0</v>
      </c>
      <c r="Q250" s="96">
        <f t="shared" si="11"/>
        <v>0</v>
      </c>
      <c r="R250" s="97">
        <f t="shared" si="12"/>
        <v>0</v>
      </c>
      <c r="S250" s="98"/>
    </row>
    <row r="251" spans="1:19">
      <c r="A251" s="85"/>
      <c r="B251" s="85"/>
      <c r="C251" s="85"/>
      <c r="D251" s="88"/>
      <c r="E251" s="85"/>
      <c r="F251" s="90"/>
      <c r="G251" s="91"/>
      <c r="H251" s="92">
        <f t="shared" si="13"/>
        <v>0</v>
      </c>
      <c r="I251" s="93"/>
      <c r="J251" s="94">
        <f>IF(I251&lt;&gt;"",IF(D251="男",HLOOKUP(I251,各项评分标准!$12:$14,3,1),HLOOKUP(I251,各项评分标准!$13:$14,2,1)),0)</f>
        <v>0</v>
      </c>
      <c r="K251" s="95"/>
      <c r="L251" s="94">
        <f>IF(K251&lt;&gt;"",IF(D251="男",HLOOKUP(K251,各项评分标准!$16:$18,3,1),HLOOKUP(K251,各项评分标准!$17:$18,2,1)),0)</f>
        <v>0</v>
      </c>
      <c r="M251" s="85"/>
      <c r="N251" s="94">
        <f>IF(M251&lt;&gt;"",IF(D251="男",HLOOKUP(M251,各项评分标准!$4:$6,3,1),HLOOKUP(M251,各项评分标准!$5:$6,2,1)),0)</f>
        <v>0</v>
      </c>
      <c r="O251" s="85"/>
      <c r="P251" s="94">
        <f>IF(O251&lt;&gt;"",IF(D251="男",HLOOKUP(O251,各项评分标准!$8:$10,3,1),HLOOKUP(O251,各项评分标准!$9:$10,2,1)),0)</f>
        <v>0</v>
      </c>
      <c r="Q251" s="96">
        <f t="shared" si="11"/>
        <v>0</v>
      </c>
      <c r="R251" s="97">
        <f t="shared" si="12"/>
        <v>0</v>
      </c>
      <c r="S251" s="98"/>
    </row>
    <row r="252" spans="1:19">
      <c r="A252" s="85"/>
      <c r="B252" s="85"/>
      <c r="C252" s="85"/>
      <c r="D252" s="88"/>
      <c r="E252" s="85"/>
      <c r="F252" s="90"/>
      <c r="G252" s="91"/>
      <c r="H252" s="92">
        <f t="shared" si="13"/>
        <v>0</v>
      </c>
      <c r="I252" s="93"/>
      <c r="J252" s="94">
        <f>IF(I252&lt;&gt;"",IF(D252="男",HLOOKUP(I252,各项评分标准!$12:$14,3,1),HLOOKUP(I252,各项评分标准!$13:$14,2,1)),0)</f>
        <v>0</v>
      </c>
      <c r="K252" s="95"/>
      <c r="L252" s="94">
        <f>IF(K252&lt;&gt;"",IF(D252="男",HLOOKUP(K252,各项评分标准!$16:$18,3,1),HLOOKUP(K252,各项评分标准!$17:$18,2,1)),0)</f>
        <v>0</v>
      </c>
      <c r="M252" s="85"/>
      <c r="N252" s="94">
        <f>IF(M252&lt;&gt;"",IF(D252="男",HLOOKUP(M252,各项评分标准!$4:$6,3,1),HLOOKUP(M252,各项评分标准!$5:$6,2,1)),0)</f>
        <v>0</v>
      </c>
      <c r="O252" s="85"/>
      <c r="P252" s="94">
        <f>IF(O252&lt;&gt;"",IF(D252="男",HLOOKUP(O252,各项评分标准!$8:$10,3,1),HLOOKUP(O252,各项评分标准!$9:$10,2,1)),0)</f>
        <v>0</v>
      </c>
      <c r="Q252" s="96">
        <f t="shared" si="11"/>
        <v>0</v>
      </c>
      <c r="R252" s="97">
        <f t="shared" si="12"/>
        <v>0</v>
      </c>
      <c r="S252" s="98"/>
    </row>
    <row r="253" spans="1:19">
      <c r="A253" s="85"/>
      <c r="B253" s="85"/>
      <c r="C253" s="85"/>
      <c r="D253" s="88"/>
      <c r="E253" s="85"/>
      <c r="F253" s="90"/>
      <c r="G253" s="91"/>
      <c r="H253" s="92">
        <f t="shared" si="13"/>
        <v>0</v>
      </c>
      <c r="I253" s="93"/>
      <c r="J253" s="94">
        <f>IF(I253&lt;&gt;"",IF(D253="男",HLOOKUP(I253,各项评分标准!$12:$14,3,1),HLOOKUP(I253,各项评分标准!$13:$14,2,1)),0)</f>
        <v>0</v>
      </c>
      <c r="K253" s="95"/>
      <c r="L253" s="94">
        <f>IF(K253&lt;&gt;"",IF(D253="男",HLOOKUP(K253,各项评分标准!$16:$18,3,1),HLOOKUP(K253,各项评分标准!$17:$18,2,1)),0)</f>
        <v>0</v>
      </c>
      <c r="M253" s="85"/>
      <c r="N253" s="94">
        <f>IF(M253&lt;&gt;"",IF(D253="男",HLOOKUP(M253,各项评分标准!$4:$6,3,1),HLOOKUP(M253,各项评分标准!$5:$6,2,1)),0)</f>
        <v>0</v>
      </c>
      <c r="O253" s="85"/>
      <c r="P253" s="94">
        <f>IF(O253&lt;&gt;"",IF(D253="男",HLOOKUP(O253,各项评分标准!$8:$10,3,1),HLOOKUP(O253,各项评分标准!$9:$10,2,1)),0)</f>
        <v>0</v>
      </c>
      <c r="Q253" s="96">
        <f t="shared" si="11"/>
        <v>0</v>
      </c>
      <c r="R253" s="97">
        <f t="shared" si="12"/>
        <v>0</v>
      </c>
      <c r="S253" s="98"/>
    </row>
    <row r="254" spans="1:19">
      <c r="A254" s="85"/>
      <c r="B254" s="85"/>
      <c r="C254" s="85"/>
      <c r="D254" s="88"/>
      <c r="E254" s="85"/>
      <c r="F254" s="90"/>
      <c r="G254" s="91"/>
      <c r="H254" s="92">
        <f t="shared" si="13"/>
        <v>0</v>
      </c>
      <c r="I254" s="93"/>
      <c r="J254" s="94">
        <f>IF(I254&lt;&gt;"",IF(D254="男",HLOOKUP(I254,各项评分标准!$12:$14,3,1),HLOOKUP(I254,各项评分标准!$13:$14,2,1)),0)</f>
        <v>0</v>
      </c>
      <c r="K254" s="95"/>
      <c r="L254" s="94">
        <f>IF(K254&lt;&gt;"",IF(D254="男",HLOOKUP(K254,各项评分标准!$16:$18,3,1),HLOOKUP(K254,各项评分标准!$17:$18,2,1)),0)</f>
        <v>0</v>
      </c>
      <c r="M254" s="85"/>
      <c r="N254" s="94">
        <f>IF(M254&lt;&gt;"",IF(D254="男",HLOOKUP(M254,各项评分标准!$4:$6,3,1),HLOOKUP(M254,各项评分标准!$5:$6,2,1)),0)</f>
        <v>0</v>
      </c>
      <c r="O254" s="85"/>
      <c r="P254" s="94">
        <f>IF(O254&lt;&gt;"",IF(D254="男",HLOOKUP(O254,各项评分标准!$8:$10,3,1),HLOOKUP(O254,各项评分标准!$9:$10,2,1)),0)</f>
        <v>0</v>
      </c>
      <c r="Q254" s="96">
        <f t="shared" si="11"/>
        <v>0</v>
      </c>
      <c r="R254" s="97">
        <f t="shared" si="12"/>
        <v>0</v>
      </c>
      <c r="S254" s="98"/>
    </row>
    <row r="255" spans="1:19">
      <c r="A255" s="85"/>
      <c r="B255" s="85"/>
      <c r="C255" s="85"/>
      <c r="D255" s="88"/>
      <c r="E255" s="85"/>
      <c r="F255" s="90"/>
      <c r="G255" s="91"/>
      <c r="H255" s="92">
        <f t="shared" si="13"/>
        <v>0</v>
      </c>
      <c r="I255" s="93"/>
      <c r="J255" s="94">
        <f>IF(I255&lt;&gt;"",IF(D255="男",HLOOKUP(I255,各项评分标准!$12:$14,3,1),HLOOKUP(I255,各项评分标准!$13:$14,2,1)),0)</f>
        <v>0</v>
      </c>
      <c r="K255" s="95"/>
      <c r="L255" s="94">
        <f>IF(K255&lt;&gt;"",IF(D255="男",HLOOKUP(K255,各项评分标准!$16:$18,3,1),HLOOKUP(K255,各项评分标准!$17:$18,2,1)),0)</f>
        <v>0</v>
      </c>
      <c r="M255" s="85"/>
      <c r="N255" s="94">
        <f>IF(M255&lt;&gt;"",IF(D255="男",HLOOKUP(M255,各项评分标准!$4:$6,3,1),HLOOKUP(M255,各项评分标准!$5:$6,2,1)),0)</f>
        <v>0</v>
      </c>
      <c r="O255" s="85"/>
      <c r="P255" s="94">
        <f>IF(O255&lt;&gt;"",IF(D255="男",HLOOKUP(O255,各项评分标准!$8:$10,3,1),HLOOKUP(O255,各项评分标准!$9:$10,2,1)),0)</f>
        <v>0</v>
      </c>
      <c r="Q255" s="96">
        <f t="shared" si="11"/>
        <v>0</v>
      </c>
      <c r="R255" s="97">
        <f t="shared" si="12"/>
        <v>0</v>
      </c>
      <c r="S255" s="98"/>
    </row>
    <row r="256" spans="1:19">
      <c r="A256" s="85"/>
      <c r="B256" s="85"/>
      <c r="C256" s="85"/>
      <c r="D256" s="88"/>
      <c r="E256" s="85"/>
      <c r="F256" s="90"/>
      <c r="G256" s="91"/>
      <c r="H256" s="92">
        <f t="shared" si="13"/>
        <v>0</v>
      </c>
      <c r="I256" s="93"/>
      <c r="J256" s="94">
        <f>IF(I256&lt;&gt;"",IF(D256="男",HLOOKUP(I256,各项评分标准!$12:$14,3,1),HLOOKUP(I256,各项评分标准!$13:$14,2,1)),0)</f>
        <v>0</v>
      </c>
      <c r="K256" s="95"/>
      <c r="L256" s="94">
        <f>IF(K256&lt;&gt;"",IF(D256="男",HLOOKUP(K256,各项评分标准!$16:$18,3,1),HLOOKUP(K256,各项评分标准!$17:$18,2,1)),0)</f>
        <v>0</v>
      </c>
      <c r="M256" s="85"/>
      <c r="N256" s="94">
        <f>IF(M256&lt;&gt;"",IF(D256="男",HLOOKUP(M256,各项评分标准!$4:$6,3,1),HLOOKUP(M256,各项评分标准!$5:$6,2,1)),0)</f>
        <v>0</v>
      </c>
      <c r="O256" s="85"/>
      <c r="P256" s="94">
        <f>IF(O256&lt;&gt;"",IF(D256="男",HLOOKUP(O256,各项评分标准!$8:$10,3,1),HLOOKUP(O256,各项评分标准!$9:$10,2,1)),0)</f>
        <v>0</v>
      </c>
      <c r="Q256" s="96">
        <f t="shared" si="11"/>
        <v>0</v>
      </c>
      <c r="R256" s="97">
        <f t="shared" si="12"/>
        <v>0</v>
      </c>
      <c r="S256" s="98"/>
    </row>
    <row r="257" spans="1:19">
      <c r="A257" s="85"/>
      <c r="B257" s="85"/>
      <c r="C257" s="85"/>
      <c r="D257" s="88"/>
      <c r="E257" s="85"/>
      <c r="F257" s="90"/>
      <c r="G257" s="91"/>
      <c r="H257" s="92">
        <f t="shared" si="13"/>
        <v>0</v>
      </c>
      <c r="I257" s="93"/>
      <c r="J257" s="94">
        <f>IF(I257&lt;&gt;"",IF(D257="男",HLOOKUP(I257,各项评分标准!$12:$14,3,1),HLOOKUP(I257,各项评分标准!$13:$14,2,1)),0)</f>
        <v>0</v>
      </c>
      <c r="K257" s="95"/>
      <c r="L257" s="94">
        <f>IF(K257&lt;&gt;"",IF(D257="男",HLOOKUP(K257,各项评分标准!$16:$18,3,1),HLOOKUP(K257,各项评分标准!$17:$18,2,1)),0)</f>
        <v>0</v>
      </c>
      <c r="M257" s="85"/>
      <c r="N257" s="94">
        <f>IF(M257&lt;&gt;"",IF(D257="男",HLOOKUP(M257,各项评分标准!$4:$6,3,1),HLOOKUP(M257,各项评分标准!$5:$6,2,1)),0)</f>
        <v>0</v>
      </c>
      <c r="O257" s="85"/>
      <c r="P257" s="94">
        <f>IF(O257&lt;&gt;"",IF(D257="男",HLOOKUP(O257,各项评分标准!$8:$10,3,1),HLOOKUP(O257,各项评分标准!$9:$10,2,1)),0)</f>
        <v>0</v>
      </c>
      <c r="Q257" s="96">
        <f t="shared" si="11"/>
        <v>0</v>
      </c>
      <c r="R257" s="97">
        <f t="shared" si="12"/>
        <v>0</v>
      </c>
      <c r="S257" s="98"/>
    </row>
    <row r="258" spans="1:19">
      <c r="A258" s="85"/>
      <c r="B258" s="85"/>
      <c r="C258" s="85"/>
      <c r="D258" s="88"/>
      <c r="E258" s="85"/>
      <c r="F258" s="90"/>
      <c r="G258" s="91"/>
      <c r="H258" s="92">
        <f t="shared" si="13"/>
        <v>0</v>
      </c>
      <c r="I258" s="93"/>
      <c r="J258" s="94">
        <f>IF(I258&lt;&gt;"",IF(D258="男",HLOOKUP(I258,各项评分标准!$12:$14,3,1),HLOOKUP(I258,各项评分标准!$13:$14,2,1)),0)</f>
        <v>0</v>
      </c>
      <c r="K258" s="95"/>
      <c r="L258" s="94">
        <f>IF(K258&lt;&gt;"",IF(D258="男",HLOOKUP(K258,各项评分标准!$16:$18,3,1),HLOOKUP(K258,各项评分标准!$17:$18,2,1)),0)</f>
        <v>0</v>
      </c>
      <c r="M258" s="85"/>
      <c r="N258" s="94">
        <f>IF(M258&lt;&gt;"",IF(D258="男",HLOOKUP(M258,各项评分标准!$4:$6,3,1),HLOOKUP(M258,各项评分标准!$5:$6,2,1)),0)</f>
        <v>0</v>
      </c>
      <c r="O258" s="85"/>
      <c r="P258" s="94">
        <f>IF(O258&lt;&gt;"",IF(D258="男",HLOOKUP(O258,各项评分标准!$8:$10,3,1),HLOOKUP(O258,各项评分标准!$9:$10,2,1)),0)</f>
        <v>0</v>
      </c>
      <c r="Q258" s="96">
        <f t="shared" si="11"/>
        <v>0</v>
      </c>
      <c r="R258" s="97">
        <f t="shared" si="12"/>
        <v>0</v>
      </c>
      <c r="S258" s="98"/>
    </row>
    <row r="259" spans="1:19">
      <c r="A259" s="85"/>
      <c r="B259" s="85"/>
      <c r="C259" s="85"/>
      <c r="D259" s="88"/>
      <c r="E259" s="85"/>
      <c r="F259" s="90"/>
      <c r="G259" s="91"/>
      <c r="H259" s="92">
        <f t="shared" si="13"/>
        <v>0</v>
      </c>
      <c r="I259" s="93"/>
      <c r="J259" s="94">
        <f>IF(I259&lt;&gt;"",IF(D259="男",HLOOKUP(I259,各项评分标准!$12:$14,3,1),HLOOKUP(I259,各项评分标准!$13:$14,2,1)),0)</f>
        <v>0</v>
      </c>
      <c r="K259" s="95"/>
      <c r="L259" s="94">
        <f>IF(K259&lt;&gt;"",IF(D259="男",HLOOKUP(K259,各项评分标准!$16:$18,3,1),HLOOKUP(K259,各项评分标准!$17:$18,2,1)),0)</f>
        <v>0</v>
      </c>
      <c r="M259" s="85"/>
      <c r="N259" s="94">
        <f>IF(M259&lt;&gt;"",IF(D259="男",HLOOKUP(M259,各项评分标准!$4:$6,3,1),HLOOKUP(M259,各项评分标准!$5:$6,2,1)),0)</f>
        <v>0</v>
      </c>
      <c r="O259" s="85"/>
      <c r="P259" s="94">
        <f>IF(O259&lt;&gt;"",IF(D259="男",HLOOKUP(O259,各项评分标准!$8:$10,3,1),HLOOKUP(O259,各项评分标准!$9:$10,2,1)),0)</f>
        <v>0</v>
      </c>
      <c r="Q259" s="96">
        <f t="shared" si="11"/>
        <v>0</v>
      </c>
      <c r="R259" s="97">
        <f t="shared" si="12"/>
        <v>0</v>
      </c>
      <c r="S259" s="98"/>
    </row>
    <row r="260" spans="1:19">
      <c r="A260" s="85"/>
      <c r="B260" s="85"/>
      <c r="C260" s="85"/>
      <c r="D260" s="88"/>
      <c r="E260" s="85"/>
      <c r="F260" s="90"/>
      <c r="G260" s="91"/>
      <c r="H260" s="92">
        <f t="shared" si="13"/>
        <v>0</v>
      </c>
      <c r="I260" s="93"/>
      <c r="J260" s="94">
        <f>IF(I260&lt;&gt;"",IF(D260="男",HLOOKUP(I260,各项评分标准!$12:$14,3,1),HLOOKUP(I260,各项评分标准!$13:$14,2,1)),0)</f>
        <v>0</v>
      </c>
      <c r="K260" s="95"/>
      <c r="L260" s="94">
        <f>IF(K260&lt;&gt;"",IF(D260="男",HLOOKUP(K260,各项评分标准!$16:$18,3,1),HLOOKUP(K260,各项评分标准!$17:$18,2,1)),0)</f>
        <v>0</v>
      </c>
      <c r="M260" s="85"/>
      <c r="N260" s="94">
        <f>IF(M260&lt;&gt;"",IF(D260="男",HLOOKUP(M260,各项评分标准!$4:$6,3,1),HLOOKUP(M260,各项评分标准!$5:$6,2,1)),0)</f>
        <v>0</v>
      </c>
      <c r="O260" s="85"/>
      <c r="P260" s="94">
        <f>IF(O260&lt;&gt;"",IF(D260="男",HLOOKUP(O260,各项评分标准!$8:$10,3,1),HLOOKUP(O260,各项评分标准!$9:$10,2,1)),0)</f>
        <v>0</v>
      </c>
      <c r="Q260" s="96">
        <f t="shared" si="11"/>
        <v>0</v>
      </c>
      <c r="R260" s="97">
        <f t="shared" si="12"/>
        <v>0</v>
      </c>
      <c r="S260" s="98"/>
    </row>
    <row r="261" spans="1:19">
      <c r="A261" s="85"/>
      <c r="B261" s="85"/>
      <c r="C261" s="85"/>
      <c r="D261" s="88"/>
      <c r="E261" s="85"/>
      <c r="F261" s="90"/>
      <c r="G261" s="91"/>
      <c r="H261" s="92">
        <f t="shared" si="13"/>
        <v>0</v>
      </c>
      <c r="I261" s="93"/>
      <c r="J261" s="94">
        <f>IF(I261&lt;&gt;"",IF(D261="男",HLOOKUP(I261,各项评分标准!$12:$14,3,1),HLOOKUP(I261,各项评分标准!$13:$14,2,1)),0)</f>
        <v>0</v>
      </c>
      <c r="K261" s="95"/>
      <c r="L261" s="94">
        <f>IF(K261&lt;&gt;"",IF(D261="男",HLOOKUP(K261,各项评分标准!$16:$18,3,1),HLOOKUP(K261,各项评分标准!$17:$18,2,1)),0)</f>
        <v>0</v>
      </c>
      <c r="M261" s="85"/>
      <c r="N261" s="94">
        <f>IF(M261&lt;&gt;"",IF(D261="男",HLOOKUP(M261,各项评分标准!$4:$6,3,1),HLOOKUP(M261,各项评分标准!$5:$6,2,1)),0)</f>
        <v>0</v>
      </c>
      <c r="O261" s="85"/>
      <c r="P261" s="94">
        <f>IF(O261&lt;&gt;"",IF(D261="男",HLOOKUP(O261,各项评分标准!$8:$10,3,1),HLOOKUP(O261,各项评分标准!$9:$10,2,1)),0)</f>
        <v>0</v>
      </c>
      <c r="Q261" s="96">
        <f t="shared" si="11"/>
        <v>0</v>
      </c>
      <c r="R261" s="97">
        <f t="shared" si="12"/>
        <v>0</v>
      </c>
      <c r="S261" s="98"/>
    </row>
    <row r="262" spans="1:19">
      <c r="A262" s="85"/>
      <c r="B262" s="85"/>
      <c r="C262" s="85"/>
      <c r="D262" s="88"/>
      <c r="E262" s="85"/>
      <c r="F262" s="90"/>
      <c r="G262" s="91"/>
      <c r="H262" s="92">
        <f t="shared" si="13"/>
        <v>0</v>
      </c>
      <c r="I262" s="93"/>
      <c r="J262" s="94">
        <f>IF(I262&lt;&gt;"",IF(D262="男",HLOOKUP(I262,各项评分标准!$12:$14,3,1),HLOOKUP(I262,各项评分标准!$13:$14,2,1)),0)</f>
        <v>0</v>
      </c>
      <c r="K262" s="95"/>
      <c r="L262" s="94">
        <f>IF(K262&lt;&gt;"",IF(D262="男",HLOOKUP(K262,各项评分标准!$16:$18,3,1),HLOOKUP(K262,各项评分标准!$17:$18,2,1)),0)</f>
        <v>0</v>
      </c>
      <c r="M262" s="85"/>
      <c r="N262" s="94">
        <f>IF(M262&lt;&gt;"",IF(D262="男",HLOOKUP(M262,各项评分标准!$4:$6,3,1),HLOOKUP(M262,各项评分标准!$5:$6,2,1)),0)</f>
        <v>0</v>
      </c>
      <c r="O262" s="85"/>
      <c r="P262" s="94">
        <f>IF(O262&lt;&gt;"",IF(D262="男",HLOOKUP(O262,各项评分标准!$8:$10,3,1),HLOOKUP(O262,各项评分标准!$9:$10,2,1)),0)</f>
        <v>0</v>
      </c>
      <c r="Q262" s="96">
        <f t="shared" ref="Q262:Q277" si="14">(J262+L262+N262+P262)/4</f>
        <v>0</v>
      </c>
      <c r="R262" s="97">
        <f t="shared" ref="R262:R277" si="15">F262*10%+G262*10%+H262*80%</f>
        <v>0</v>
      </c>
      <c r="S262" s="98"/>
    </row>
    <row r="263" spans="1:19">
      <c r="A263" s="85"/>
      <c r="B263" s="85"/>
      <c r="C263" s="85"/>
      <c r="D263" s="88"/>
      <c r="E263" s="85"/>
      <c r="F263" s="90"/>
      <c r="G263" s="91"/>
      <c r="H263" s="92">
        <f t="shared" si="13"/>
        <v>0</v>
      </c>
      <c r="I263" s="93"/>
      <c r="J263" s="94">
        <f>IF(I263&lt;&gt;"",IF(D263="男",HLOOKUP(I263,各项评分标准!$12:$14,3,1),HLOOKUP(I263,各项评分标准!$13:$14,2,1)),0)</f>
        <v>0</v>
      </c>
      <c r="K263" s="95"/>
      <c r="L263" s="94">
        <f>IF(K263&lt;&gt;"",IF(D263="男",HLOOKUP(K263,各项评分标准!$16:$18,3,1),HLOOKUP(K263,各项评分标准!$17:$18,2,1)),0)</f>
        <v>0</v>
      </c>
      <c r="M263" s="85"/>
      <c r="N263" s="94">
        <f>IF(M263&lt;&gt;"",IF(D263="男",HLOOKUP(M263,各项评分标准!$4:$6,3,1),HLOOKUP(M263,各项评分标准!$5:$6,2,1)),0)</f>
        <v>0</v>
      </c>
      <c r="O263" s="85"/>
      <c r="P263" s="94">
        <f>IF(O263&lt;&gt;"",IF(D263="男",HLOOKUP(O263,各项评分标准!$8:$10,3,1),HLOOKUP(O263,各项评分标准!$9:$10,2,1)),0)</f>
        <v>0</v>
      </c>
      <c r="Q263" s="96">
        <f t="shared" si="14"/>
        <v>0</v>
      </c>
      <c r="R263" s="97">
        <f t="shared" si="15"/>
        <v>0</v>
      </c>
      <c r="S263" s="98"/>
    </row>
    <row r="264" spans="1:19">
      <c r="A264" s="85"/>
      <c r="B264" s="85"/>
      <c r="C264" s="85"/>
      <c r="D264" s="88"/>
      <c r="E264" s="85"/>
      <c r="F264" s="90"/>
      <c r="G264" s="91"/>
      <c r="H264" s="92">
        <f t="shared" si="13"/>
        <v>0</v>
      </c>
      <c r="I264" s="93"/>
      <c r="J264" s="94">
        <f>IF(I264&lt;&gt;"",IF(D264="男",HLOOKUP(I264,各项评分标准!$12:$14,3,1),HLOOKUP(I264,各项评分标准!$13:$14,2,1)),0)</f>
        <v>0</v>
      </c>
      <c r="K264" s="95"/>
      <c r="L264" s="94">
        <f>IF(K264&lt;&gt;"",IF(D264="男",HLOOKUP(K264,各项评分标准!$16:$18,3,1),HLOOKUP(K264,各项评分标准!$17:$18,2,1)),0)</f>
        <v>0</v>
      </c>
      <c r="M264" s="85"/>
      <c r="N264" s="94">
        <f>IF(M264&lt;&gt;"",IF(D264="男",HLOOKUP(M264,各项评分标准!$4:$6,3,1),HLOOKUP(M264,各项评分标准!$5:$6,2,1)),0)</f>
        <v>0</v>
      </c>
      <c r="O264" s="85"/>
      <c r="P264" s="94">
        <f>IF(O264&lt;&gt;"",IF(D264="男",HLOOKUP(O264,各项评分标准!$8:$10,3,1),HLOOKUP(O264,各项评分标准!$9:$10,2,1)),0)</f>
        <v>0</v>
      </c>
      <c r="Q264" s="96">
        <f t="shared" si="14"/>
        <v>0</v>
      </c>
      <c r="R264" s="97">
        <f t="shared" si="15"/>
        <v>0</v>
      </c>
      <c r="S264" s="98"/>
    </row>
    <row r="265" spans="1:19">
      <c r="A265" s="85"/>
      <c r="B265" s="85"/>
      <c r="C265" s="85"/>
      <c r="D265" s="88"/>
      <c r="E265" s="85"/>
      <c r="F265" s="90"/>
      <c r="G265" s="91"/>
      <c r="H265" s="92">
        <f t="shared" ref="H265:H277" si="16">Q265</f>
        <v>0</v>
      </c>
      <c r="I265" s="93"/>
      <c r="J265" s="94">
        <f>IF(I265&lt;&gt;"",IF(D265="男",HLOOKUP(I265,各项评分标准!$12:$14,3,1),HLOOKUP(I265,各项评分标准!$13:$14,2,1)),0)</f>
        <v>0</v>
      </c>
      <c r="K265" s="95"/>
      <c r="L265" s="94">
        <f>IF(K265&lt;&gt;"",IF(D265="男",HLOOKUP(K265,各项评分标准!$16:$18,3,1),HLOOKUP(K265,各项评分标准!$17:$18,2,1)),0)</f>
        <v>0</v>
      </c>
      <c r="M265" s="85"/>
      <c r="N265" s="94">
        <f>IF(M265&lt;&gt;"",IF(D265="男",HLOOKUP(M265,各项评分标准!$4:$6,3,1),HLOOKUP(M265,各项评分标准!$5:$6,2,1)),0)</f>
        <v>0</v>
      </c>
      <c r="O265" s="85"/>
      <c r="P265" s="94">
        <f>IF(O265&lt;&gt;"",IF(D265="男",HLOOKUP(O265,各项评分标准!$8:$10,3,1),HLOOKUP(O265,各项评分标准!$9:$10,2,1)),0)</f>
        <v>0</v>
      </c>
      <c r="Q265" s="96">
        <f t="shared" si="14"/>
        <v>0</v>
      </c>
      <c r="R265" s="97">
        <f t="shared" si="15"/>
        <v>0</v>
      </c>
      <c r="S265" s="98"/>
    </row>
    <row r="266" spans="1:19">
      <c r="A266" s="85"/>
      <c r="B266" s="85"/>
      <c r="C266" s="85"/>
      <c r="D266" s="88"/>
      <c r="E266" s="85"/>
      <c r="F266" s="90"/>
      <c r="G266" s="91"/>
      <c r="H266" s="92">
        <f t="shared" si="16"/>
        <v>0</v>
      </c>
      <c r="I266" s="93"/>
      <c r="J266" s="94">
        <f>IF(I266&lt;&gt;"",IF(D266="男",HLOOKUP(I266,各项评分标准!$12:$14,3,1),HLOOKUP(I266,各项评分标准!$13:$14,2,1)),0)</f>
        <v>0</v>
      </c>
      <c r="K266" s="95"/>
      <c r="L266" s="94">
        <f>IF(K266&lt;&gt;"",IF(D266="男",HLOOKUP(K266,各项评分标准!$16:$18,3,1),HLOOKUP(K266,各项评分标准!$17:$18,2,1)),0)</f>
        <v>0</v>
      </c>
      <c r="M266" s="85"/>
      <c r="N266" s="94">
        <f>IF(M266&lt;&gt;"",IF(D266="男",HLOOKUP(M266,各项评分标准!$4:$6,3,1),HLOOKUP(M266,各项评分标准!$5:$6,2,1)),0)</f>
        <v>0</v>
      </c>
      <c r="O266" s="85"/>
      <c r="P266" s="94">
        <f>IF(O266&lt;&gt;"",IF(D266="男",HLOOKUP(O266,各项评分标准!$8:$10,3,1),HLOOKUP(O266,各项评分标准!$9:$10,2,1)),0)</f>
        <v>0</v>
      </c>
      <c r="Q266" s="96">
        <f t="shared" si="14"/>
        <v>0</v>
      </c>
      <c r="R266" s="97">
        <f t="shared" si="15"/>
        <v>0</v>
      </c>
      <c r="S266" s="98"/>
    </row>
    <row r="267" spans="1:19">
      <c r="A267" s="85"/>
      <c r="B267" s="85"/>
      <c r="C267" s="85"/>
      <c r="D267" s="88"/>
      <c r="E267" s="85"/>
      <c r="F267" s="90"/>
      <c r="G267" s="91"/>
      <c r="H267" s="92">
        <f t="shared" si="16"/>
        <v>0</v>
      </c>
      <c r="I267" s="93"/>
      <c r="J267" s="94">
        <f>IF(I267&lt;&gt;"",IF(D267="男",HLOOKUP(I267,各项评分标准!$12:$14,3,1),HLOOKUP(I267,各项评分标准!$13:$14,2,1)),0)</f>
        <v>0</v>
      </c>
      <c r="K267" s="95"/>
      <c r="L267" s="94">
        <f>IF(K267&lt;&gt;"",IF(D267="男",HLOOKUP(K267,各项评分标准!$16:$18,3,1),HLOOKUP(K267,各项评分标准!$17:$18,2,1)),0)</f>
        <v>0</v>
      </c>
      <c r="M267" s="85"/>
      <c r="N267" s="94">
        <f>IF(M267&lt;&gt;"",IF(D267="男",HLOOKUP(M267,各项评分标准!$4:$6,3,1),HLOOKUP(M267,各项评分标准!$5:$6,2,1)),0)</f>
        <v>0</v>
      </c>
      <c r="O267" s="85"/>
      <c r="P267" s="94">
        <f>IF(O267&lt;&gt;"",IF(D267="男",HLOOKUP(O267,各项评分标准!$8:$10,3,1),HLOOKUP(O267,各项评分标准!$9:$10,2,1)),0)</f>
        <v>0</v>
      </c>
      <c r="Q267" s="96">
        <f t="shared" si="14"/>
        <v>0</v>
      </c>
      <c r="R267" s="97">
        <f t="shared" si="15"/>
        <v>0</v>
      </c>
      <c r="S267" s="98"/>
    </row>
    <row r="268" spans="1:19">
      <c r="A268" s="85"/>
      <c r="B268" s="85"/>
      <c r="C268" s="85"/>
      <c r="D268" s="88"/>
      <c r="E268" s="85"/>
      <c r="F268" s="90"/>
      <c r="G268" s="91"/>
      <c r="H268" s="92">
        <f t="shared" si="16"/>
        <v>0</v>
      </c>
      <c r="I268" s="93"/>
      <c r="J268" s="94">
        <f>IF(I268&lt;&gt;"",IF(D268="男",HLOOKUP(I268,各项评分标准!$12:$14,3,1),HLOOKUP(I268,各项评分标准!$13:$14,2,1)),0)</f>
        <v>0</v>
      </c>
      <c r="K268" s="95"/>
      <c r="L268" s="94">
        <f>IF(K268&lt;&gt;"",IF(D268="男",HLOOKUP(K268,各项评分标准!$16:$18,3,1),HLOOKUP(K268,各项评分标准!$17:$18,2,1)),0)</f>
        <v>0</v>
      </c>
      <c r="M268" s="85"/>
      <c r="N268" s="94">
        <f>IF(M268&lt;&gt;"",IF(D268="男",HLOOKUP(M268,各项评分标准!$4:$6,3,1),HLOOKUP(M268,各项评分标准!$5:$6,2,1)),0)</f>
        <v>0</v>
      </c>
      <c r="O268" s="85"/>
      <c r="P268" s="94">
        <f>IF(O268&lt;&gt;"",IF(D268="男",HLOOKUP(O268,各项评分标准!$8:$10,3,1),HLOOKUP(O268,各项评分标准!$9:$10,2,1)),0)</f>
        <v>0</v>
      </c>
      <c r="Q268" s="96">
        <f t="shared" si="14"/>
        <v>0</v>
      </c>
      <c r="R268" s="97">
        <f t="shared" si="15"/>
        <v>0</v>
      </c>
      <c r="S268" s="98"/>
    </row>
    <row r="269" spans="1:19">
      <c r="A269" s="85"/>
      <c r="B269" s="85"/>
      <c r="C269" s="85"/>
      <c r="D269" s="88"/>
      <c r="E269" s="85"/>
      <c r="F269" s="90"/>
      <c r="G269" s="91"/>
      <c r="H269" s="92">
        <f t="shared" si="16"/>
        <v>0</v>
      </c>
      <c r="I269" s="93"/>
      <c r="J269" s="94">
        <f>IF(I269&lt;&gt;"",IF(D269="男",HLOOKUP(I269,各项评分标准!$12:$14,3,1),HLOOKUP(I269,各项评分标准!$13:$14,2,1)),0)</f>
        <v>0</v>
      </c>
      <c r="K269" s="95"/>
      <c r="L269" s="94">
        <f>IF(K269&lt;&gt;"",IF(D269="男",HLOOKUP(K269,各项评分标准!$16:$18,3,1),HLOOKUP(K269,各项评分标准!$17:$18,2,1)),0)</f>
        <v>0</v>
      </c>
      <c r="M269" s="85"/>
      <c r="N269" s="94">
        <f>IF(M269&lt;&gt;"",IF(D269="男",HLOOKUP(M269,各项评分标准!$4:$6,3,1),HLOOKUP(M269,各项评分标准!$5:$6,2,1)),0)</f>
        <v>0</v>
      </c>
      <c r="O269" s="85"/>
      <c r="P269" s="94">
        <f>IF(O269&lt;&gt;"",IF(D269="男",HLOOKUP(O269,各项评分标准!$8:$10,3,1),HLOOKUP(O269,各项评分标准!$9:$10,2,1)),0)</f>
        <v>0</v>
      </c>
      <c r="Q269" s="96">
        <f t="shared" si="14"/>
        <v>0</v>
      </c>
      <c r="R269" s="97">
        <f t="shared" si="15"/>
        <v>0</v>
      </c>
      <c r="S269" s="98"/>
    </row>
    <row r="270" spans="1:19">
      <c r="A270" s="85"/>
      <c r="B270" s="85"/>
      <c r="C270" s="85"/>
      <c r="D270" s="88"/>
      <c r="E270" s="85"/>
      <c r="F270" s="90"/>
      <c r="G270" s="91"/>
      <c r="H270" s="92">
        <f t="shared" si="16"/>
        <v>0</v>
      </c>
      <c r="I270" s="93"/>
      <c r="J270" s="94">
        <f>IF(I270&lt;&gt;"",IF(D270="男",HLOOKUP(I270,各项评分标准!$12:$14,3,1),HLOOKUP(I270,各项评分标准!$13:$14,2,1)),0)</f>
        <v>0</v>
      </c>
      <c r="K270" s="95"/>
      <c r="L270" s="94">
        <f>IF(K270&lt;&gt;"",IF(D270="男",HLOOKUP(K270,各项评分标准!$16:$18,3,1),HLOOKUP(K270,各项评分标准!$17:$18,2,1)),0)</f>
        <v>0</v>
      </c>
      <c r="M270" s="85"/>
      <c r="N270" s="94">
        <f>IF(M270&lt;&gt;"",IF(D270="男",HLOOKUP(M270,各项评分标准!$4:$6,3,1),HLOOKUP(M270,各项评分标准!$5:$6,2,1)),0)</f>
        <v>0</v>
      </c>
      <c r="O270" s="85"/>
      <c r="P270" s="94">
        <f>IF(O270&lt;&gt;"",IF(D270="男",HLOOKUP(O270,各项评分标准!$8:$10,3,1),HLOOKUP(O270,各项评分标准!$9:$10,2,1)),0)</f>
        <v>0</v>
      </c>
      <c r="Q270" s="96">
        <f t="shared" si="14"/>
        <v>0</v>
      </c>
      <c r="R270" s="97">
        <f t="shared" si="15"/>
        <v>0</v>
      </c>
      <c r="S270" s="98"/>
    </row>
    <row r="271" spans="1:19">
      <c r="A271" s="85"/>
      <c r="B271" s="85"/>
      <c r="C271" s="85"/>
      <c r="D271" s="88"/>
      <c r="E271" s="85"/>
      <c r="F271" s="90"/>
      <c r="G271" s="91"/>
      <c r="H271" s="92">
        <f t="shared" si="16"/>
        <v>0</v>
      </c>
      <c r="I271" s="93"/>
      <c r="J271" s="94">
        <f>IF(I271&lt;&gt;"",IF(D271="男",HLOOKUP(I271,各项评分标准!$12:$14,3,1),HLOOKUP(I271,各项评分标准!$13:$14,2,1)),0)</f>
        <v>0</v>
      </c>
      <c r="K271" s="95"/>
      <c r="L271" s="94">
        <f>IF(K271&lt;&gt;"",IF(D271="男",HLOOKUP(K271,各项评分标准!$16:$18,3,1),HLOOKUP(K271,各项评分标准!$17:$18,2,1)),0)</f>
        <v>0</v>
      </c>
      <c r="M271" s="85"/>
      <c r="N271" s="94">
        <f>IF(M271&lt;&gt;"",IF(D271="男",HLOOKUP(M271,各项评分标准!$4:$6,3,1),HLOOKUP(M271,各项评分标准!$5:$6,2,1)),0)</f>
        <v>0</v>
      </c>
      <c r="O271" s="85"/>
      <c r="P271" s="94">
        <f>IF(O271&lt;&gt;"",IF(D271="男",HLOOKUP(O271,各项评分标准!$8:$10,3,1),HLOOKUP(O271,各项评分标准!$9:$10,2,1)),0)</f>
        <v>0</v>
      </c>
      <c r="Q271" s="96">
        <f t="shared" si="14"/>
        <v>0</v>
      </c>
      <c r="R271" s="97">
        <f t="shared" si="15"/>
        <v>0</v>
      </c>
      <c r="S271" s="98"/>
    </row>
    <row r="272" spans="1:19">
      <c r="A272" s="85"/>
      <c r="B272" s="85"/>
      <c r="C272" s="85"/>
      <c r="D272" s="88"/>
      <c r="E272" s="85"/>
      <c r="F272" s="90"/>
      <c r="G272" s="91"/>
      <c r="H272" s="92">
        <f t="shared" si="16"/>
        <v>0</v>
      </c>
      <c r="I272" s="93"/>
      <c r="J272" s="94">
        <f>IF(I272&lt;&gt;"",IF(D272="男",HLOOKUP(I272,各项评分标准!$12:$14,3,1),HLOOKUP(I272,各项评分标准!$13:$14,2,1)),0)</f>
        <v>0</v>
      </c>
      <c r="K272" s="95"/>
      <c r="L272" s="94">
        <f>IF(K272&lt;&gt;"",IF(D272="男",HLOOKUP(K272,各项评分标准!$16:$18,3,1),HLOOKUP(K272,各项评分标准!$17:$18,2,1)),0)</f>
        <v>0</v>
      </c>
      <c r="M272" s="85"/>
      <c r="N272" s="94">
        <f>IF(M272&lt;&gt;"",IF(D272="男",HLOOKUP(M272,各项评分标准!$4:$6,3,1),HLOOKUP(M272,各项评分标准!$5:$6,2,1)),0)</f>
        <v>0</v>
      </c>
      <c r="O272" s="85"/>
      <c r="P272" s="94">
        <f>IF(O272&lt;&gt;"",IF(D272="男",HLOOKUP(O272,各项评分标准!$8:$10,3,1),HLOOKUP(O272,各项评分标准!$9:$10,2,1)),0)</f>
        <v>0</v>
      </c>
      <c r="Q272" s="96">
        <f t="shared" si="14"/>
        <v>0</v>
      </c>
      <c r="R272" s="97">
        <f t="shared" si="15"/>
        <v>0</v>
      </c>
      <c r="S272" s="98"/>
    </row>
    <row r="273" spans="1:19">
      <c r="A273" s="85"/>
      <c r="B273" s="85"/>
      <c r="C273" s="85"/>
      <c r="D273" s="88"/>
      <c r="E273" s="85"/>
      <c r="F273" s="90"/>
      <c r="G273" s="91"/>
      <c r="H273" s="92">
        <f t="shared" si="16"/>
        <v>0</v>
      </c>
      <c r="I273" s="93"/>
      <c r="J273" s="94">
        <f>IF(I273&lt;&gt;"",IF(D273="男",HLOOKUP(I273,各项评分标准!$12:$14,3,1),HLOOKUP(I273,各项评分标准!$13:$14,2,1)),0)</f>
        <v>0</v>
      </c>
      <c r="K273" s="95"/>
      <c r="L273" s="94">
        <f>IF(K273&lt;&gt;"",IF(D273="男",HLOOKUP(K273,各项评分标准!$16:$18,3,1),HLOOKUP(K273,各项评分标准!$17:$18,2,1)),0)</f>
        <v>0</v>
      </c>
      <c r="M273" s="85"/>
      <c r="N273" s="94">
        <f>IF(M273&lt;&gt;"",IF(D273="男",HLOOKUP(M273,各项评分标准!$4:$6,3,1),HLOOKUP(M273,各项评分标准!$5:$6,2,1)),0)</f>
        <v>0</v>
      </c>
      <c r="O273" s="85"/>
      <c r="P273" s="94">
        <f>IF(O273&lt;&gt;"",IF(D273="男",HLOOKUP(O273,各项评分标准!$8:$10,3,1),HLOOKUP(O273,各项评分标准!$9:$10,2,1)),0)</f>
        <v>0</v>
      </c>
      <c r="Q273" s="96">
        <f t="shared" si="14"/>
        <v>0</v>
      </c>
      <c r="R273" s="97">
        <f t="shared" si="15"/>
        <v>0</v>
      </c>
      <c r="S273" s="98"/>
    </row>
    <row r="274" spans="1:19">
      <c r="A274" s="85"/>
      <c r="B274" s="85"/>
      <c r="C274" s="85"/>
      <c r="D274" s="88"/>
      <c r="E274" s="85"/>
      <c r="F274" s="90"/>
      <c r="G274" s="91"/>
      <c r="H274" s="92">
        <f t="shared" si="16"/>
        <v>0</v>
      </c>
      <c r="I274" s="93"/>
      <c r="J274" s="94">
        <f>IF(I274&lt;&gt;"",IF(D274="男",HLOOKUP(I274,各项评分标准!$12:$14,3,1),HLOOKUP(I274,各项评分标准!$13:$14,2,1)),0)</f>
        <v>0</v>
      </c>
      <c r="K274" s="95"/>
      <c r="L274" s="94">
        <f>IF(K274&lt;&gt;"",IF(D274="男",HLOOKUP(K274,各项评分标准!$16:$18,3,1),HLOOKUP(K274,各项评分标准!$17:$18,2,1)),0)</f>
        <v>0</v>
      </c>
      <c r="M274" s="85"/>
      <c r="N274" s="94">
        <f>IF(M274&lt;&gt;"",IF(D274="男",HLOOKUP(M274,各项评分标准!$4:$6,3,1),HLOOKUP(M274,各项评分标准!$5:$6,2,1)),0)</f>
        <v>0</v>
      </c>
      <c r="O274" s="85"/>
      <c r="P274" s="94">
        <f>IF(O274&lt;&gt;"",IF(D274="男",HLOOKUP(O274,各项评分标准!$8:$10,3,1),HLOOKUP(O274,各项评分标准!$9:$10,2,1)),0)</f>
        <v>0</v>
      </c>
      <c r="Q274" s="96">
        <f t="shared" si="14"/>
        <v>0</v>
      </c>
      <c r="R274" s="97">
        <f t="shared" si="15"/>
        <v>0</v>
      </c>
      <c r="S274" s="98"/>
    </row>
    <row r="275" spans="1:19">
      <c r="A275" s="85"/>
      <c r="B275" s="85"/>
      <c r="C275" s="85"/>
      <c r="D275" s="88"/>
      <c r="E275" s="85"/>
      <c r="F275" s="90"/>
      <c r="G275" s="91"/>
      <c r="H275" s="92">
        <f t="shared" si="16"/>
        <v>0</v>
      </c>
      <c r="I275" s="93"/>
      <c r="J275" s="94">
        <f>IF(I275&lt;&gt;"",IF(D275="男",HLOOKUP(I275,各项评分标准!$12:$14,3,1),HLOOKUP(I275,各项评分标准!$13:$14,2,1)),0)</f>
        <v>0</v>
      </c>
      <c r="K275" s="95"/>
      <c r="L275" s="94">
        <f>IF(K275&lt;&gt;"",IF(D275="男",HLOOKUP(K275,各项评分标准!$16:$18,3,1),HLOOKUP(K275,各项评分标准!$17:$18,2,1)),0)</f>
        <v>0</v>
      </c>
      <c r="M275" s="85"/>
      <c r="N275" s="94">
        <f>IF(M275&lt;&gt;"",IF(D275="男",HLOOKUP(M275,各项评分标准!$4:$6,3,1),HLOOKUP(M275,各项评分标准!$5:$6,2,1)),0)</f>
        <v>0</v>
      </c>
      <c r="O275" s="85"/>
      <c r="P275" s="94">
        <f>IF(O275&lt;&gt;"",IF(D275="男",HLOOKUP(O275,各项评分标准!$8:$10,3,1),HLOOKUP(O275,各项评分标准!$9:$10,2,1)),0)</f>
        <v>0</v>
      </c>
      <c r="Q275" s="96">
        <f t="shared" si="14"/>
        <v>0</v>
      </c>
      <c r="R275" s="97">
        <f t="shared" si="15"/>
        <v>0</v>
      </c>
      <c r="S275" s="98"/>
    </row>
    <row r="276" spans="1:19">
      <c r="A276" s="85"/>
      <c r="B276" s="85"/>
      <c r="C276" s="85"/>
      <c r="D276" s="88"/>
      <c r="E276" s="85"/>
      <c r="F276" s="90"/>
      <c r="G276" s="91"/>
      <c r="H276" s="92">
        <f t="shared" si="16"/>
        <v>0</v>
      </c>
      <c r="I276" s="93"/>
      <c r="J276" s="94">
        <f>IF(I276&lt;&gt;"",IF(D276="男",HLOOKUP(I276,各项评分标准!$12:$14,3,1),HLOOKUP(I276,各项评分标准!$13:$14,2,1)),0)</f>
        <v>0</v>
      </c>
      <c r="K276" s="95"/>
      <c r="L276" s="94">
        <f>IF(K276&lt;&gt;"",IF(D276="男",HLOOKUP(K276,各项评分标准!$16:$18,3,1),HLOOKUP(K276,各项评分标准!$17:$18,2,1)),0)</f>
        <v>0</v>
      </c>
      <c r="M276" s="85"/>
      <c r="N276" s="94">
        <f>IF(M276&lt;&gt;"",IF(D276="男",HLOOKUP(M276,各项评分标准!$4:$6,3,1),HLOOKUP(M276,各项评分标准!$5:$6,2,1)),0)</f>
        <v>0</v>
      </c>
      <c r="O276" s="85"/>
      <c r="P276" s="94">
        <f>IF(O276&lt;&gt;"",IF(D276="男",HLOOKUP(O276,各项评分标准!$8:$10,3,1),HLOOKUP(O276,各项评分标准!$9:$10,2,1)),0)</f>
        <v>0</v>
      </c>
      <c r="Q276" s="96">
        <f t="shared" si="14"/>
        <v>0</v>
      </c>
      <c r="R276" s="97">
        <f t="shared" si="15"/>
        <v>0</v>
      </c>
      <c r="S276" s="98"/>
    </row>
    <row r="277" spans="1:19">
      <c r="A277" s="85"/>
      <c r="B277" s="85"/>
      <c r="C277" s="85"/>
      <c r="D277" s="88"/>
      <c r="E277" s="85"/>
      <c r="F277" s="90"/>
      <c r="G277" s="91"/>
      <c r="H277" s="92">
        <f t="shared" si="16"/>
        <v>0</v>
      </c>
      <c r="I277" s="93"/>
      <c r="J277" s="94">
        <f>IF(I277&lt;&gt;"",IF(D277="男",HLOOKUP(I277,各项评分标准!$12:$14,3,1),HLOOKUP(I277,各项评分标准!$13:$14,2,1)),0)</f>
        <v>0</v>
      </c>
      <c r="K277" s="95"/>
      <c r="L277" s="94">
        <f>IF(K277&lt;&gt;"",IF(D277="男",HLOOKUP(K277,各项评分标准!$16:$18,3,1),HLOOKUP(K277,各项评分标准!$17:$18,2,1)),0)</f>
        <v>0</v>
      </c>
      <c r="M277" s="85"/>
      <c r="N277" s="94">
        <f>IF(M277&lt;&gt;"",IF(D277="男",HLOOKUP(M277,各项评分标准!$4:$6,3,1),HLOOKUP(M277,各项评分标准!$5:$6,2,1)),0)</f>
        <v>0</v>
      </c>
      <c r="O277" s="85"/>
      <c r="P277" s="94">
        <f>IF(O277&lt;&gt;"",IF(D277="男",HLOOKUP(O277,各项评分标准!$8:$10,3,1),HLOOKUP(O277,各项评分标准!$9:$10,2,1)),0)</f>
        <v>0</v>
      </c>
      <c r="Q277" s="96">
        <f t="shared" si="14"/>
        <v>0</v>
      </c>
      <c r="R277" s="97">
        <f t="shared" si="15"/>
        <v>0</v>
      </c>
      <c r="S277" s="98"/>
    </row>
    <row r="278" spans="1:19">
      <c r="A278" s="85"/>
      <c r="B278" s="85"/>
      <c r="C278" s="85"/>
      <c r="D278" s="88"/>
      <c r="E278" s="85"/>
      <c r="F278" s="90"/>
      <c r="G278" s="91"/>
      <c r="H278" s="92"/>
      <c r="I278" s="93"/>
      <c r="J278" s="94"/>
      <c r="K278" s="95"/>
      <c r="L278" s="94"/>
      <c r="M278" s="85"/>
      <c r="N278" s="94"/>
      <c r="O278" s="85"/>
      <c r="P278" s="94"/>
      <c r="Q278" s="96"/>
      <c r="R278" s="97"/>
      <c r="S278" s="98"/>
    </row>
    <row r="279" spans="1:19">
      <c r="A279" s="85"/>
      <c r="B279" s="85"/>
      <c r="C279" s="85"/>
      <c r="D279" s="88"/>
      <c r="E279" s="85"/>
      <c r="F279" s="90"/>
      <c r="G279" s="91"/>
      <c r="H279" s="92"/>
      <c r="I279" s="93"/>
      <c r="J279" s="94"/>
      <c r="K279" s="95"/>
      <c r="L279" s="94"/>
      <c r="M279" s="85"/>
      <c r="N279" s="94"/>
      <c r="O279" s="85"/>
      <c r="P279" s="94"/>
      <c r="Q279" s="96"/>
      <c r="R279" s="97"/>
      <c r="S279" s="98"/>
    </row>
    <row r="280" spans="1:19">
      <c r="A280" s="85"/>
      <c r="B280" s="85"/>
      <c r="C280" s="85"/>
      <c r="D280" s="88"/>
      <c r="E280" s="85"/>
      <c r="F280" s="90"/>
      <c r="G280" s="91"/>
      <c r="H280" s="92"/>
      <c r="I280" s="93"/>
      <c r="J280" s="94"/>
      <c r="K280" s="95"/>
      <c r="L280" s="94"/>
      <c r="M280" s="85"/>
      <c r="N280" s="94"/>
      <c r="O280" s="85"/>
      <c r="P280" s="94"/>
      <c r="Q280" s="96"/>
      <c r="R280" s="97"/>
      <c r="S280" s="98"/>
    </row>
    <row r="281" spans="1:19">
      <c r="A281" s="85"/>
      <c r="B281" s="85"/>
      <c r="C281" s="85"/>
      <c r="D281" s="88"/>
      <c r="E281" s="85"/>
      <c r="F281" s="90"/>
      <c r="G281" s="91"/>
      <c r="H281" s="92"/>
      <c r="I281" s="93"/>
      <c r="J281" s="94"/>
      <c r="K281" s="95"/>
      <c r="L281" s="94"/>
      <c r="M281" s="85"/>
      <c r="N281" s="94"/>
      <c r="O281" s="85"/>
      <c r="P281" s="94"/>
      <c r="Q281" s="96"/>
      <c r="R281" s="97"/>
      <c r="S281" s="98"/>
    </row>
    <row r="282" spans="1:19">
      <c r="A282" s="85"/>
      <c r="B282" s="85"/>
      <c r="C282" s="85"/>
      <c r="D282" s="88"/>
      <c r="E282" s="85"/>
      <c r="F282" s="90"/>
      <c r="G282" s="91"/>
      <c r="H282" s="92"/>
      <c r="I282" s="93"/>
      <c r="J282" s="94"/>
      <c r="K282" s="95"/>
      <c r="L282" s="94"/>
      <c r="M282" s="85"/>
      <c r="N282" s="94"/>
      <c r="O282" s="85"/>
      <c r="P282" s="94"/>
      <c r="Q282" s="96"/>
      <c r="R282" s="97"/>
      <c r="S282" s="98"/>
    </row>
    <row r="283" spans="1:19">
      <c r="A283" s="85"/>
      <c r="B283" s="85"/>
      <c r="C283" s="85"/>
      <c r="D283" s="88"/>
      <c r="E283" s="85"/>
      <c r="F283" s="90"/>
      <c r="G283" s="91"/>
      <c r="H283" s="92"/>
      <c r="I283" s="93"/>
      <c r="J283" s="94"/>
      <c r="K283" s="95"/>
      <c r="L283" s="94"/>
      <c r="M283" s="85"/>
      <c r="N283" s="94"/>
      <c r="O283" s="85"/>
      <c r="P283" s="94"/>
      <c r="Q283" s="96"/>
      <c r="R283" s="97"/>
      <c r="S283" s="98"/>
    </row>
    <row r="284" spans="1:19">
      <c r="A284" s="85"/>
      <c r="B284" s="103"/>
      <c r="C284" s="90"/>
      <c r="D284" s="88"/>
      <c r="E284" s="90"/>
      <c r="F284" s="90"/>
      <c r="G284" s="91"/>
      <c r="H284" s="92"/>
      <c r="I284" s="93"/>
      <c r="J284" s="94"/>
      <c r="K284" s="95"/>
      <c r="L284" s="94"/>
      <c r="M284" s="85"/>
      <c r="N284" s="94"/>
      <c r="O284" s="85"/>
      <c r="P284" s="94"/>
      <c r="Q284" s="96"/>
      <c r="R284" s="97"/>
      <c r="S284" s="98"/>
    </row>
    <row r="285" spans="1:19">
      <c r="A285" s="85"/>
      <c r="B285" s="103"/>
      <c r="C285" s="90"/>
      <c r="D285" s="88"/>
      <c r="E285" s="90"/>
      <c r="F285" s="90"/>
      <c r="G285" s="91"/>
      <c r="H285" s="104"/>
      <c r="I285" s="93"/>
      <c r="J285" s="94"/>
      <c r="K285" s="95"/>
      <c r="L285" s="94"/>
      <c r="M285" s="85"/>
      <c r="N285" s="94"/>
      <c r="O285" s="85"/>
      <c r="P285" s="94"/>
      <c r="Q285" s="96"/>
      <c r="R285" s="97"/>
      <c r="S285" s="98"/>
    </row>
    <row r="286" spans="1:19">
      <c r="A286" s="85"/>
      <c r="B286" s="103"/>
      <c r="C286" s="90"/>
      <c r="D286" s="88"/>
      <c r="E286" s="90"/>
      <c r="F286" s="90"/>
      <c r="G286" s="91"/>
      <c r="H286" s="104"/>
      <c r="I286" s="93"/>
      <c r="J286" s="94"/>
      <c r="K286" s="95"/>
      <c r="L286" s="94"/>
      <c r="M286" s="85"/>
      <c r="N286" s="94"/>
      <c r="O286" s="85"/>
      <c r="P286" s="94"/>
      <c r="Q286" s="96"/>
      <c r="R286" s="97"/>
      <c r="S286" s="98"/>
    </row>
  </sheetData>
  <sortState ref="E34:R80">
    <sortCondition ref="R34:R80"/>
  </sortState>
  <mergeCells count="11">
    <mergeCell ref="A1:S1"/>
    <mergeCell ref="A2:S2"/>
    <mergeCell ref="I3:Q3"/>
    <mergeCell ref="A3:A4"/>
    <mergeCell ref="B3:B4"/>
    <mergeCell ref="C3:C4"/>
    <mergeCell ref="D3:D4"/>
    <mergeCell ref="E3:E4"/>
    <mergeCell ref="H3:H4"/>
    <mergeCell ref="R3:R4"/>
    <mergeCell ref="S3:S4"/>
  </mergeCells>
  <dataValidations count="1">
    <dataValidation type="list" allowBlank="1" showInputMessage="1" showErrorMessage="1" sqref="D5:D286">
      <formula1>"男,女"</formula1>
    </dataValidation>
  </dataValidations>
  <pageMargins left="0.75" right="0.75" top="1" bottom="1" header="0.5" footer="0.5"/>
  <pageSetup paperSize="9" scale="74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2"/>
  <sheetViews>
    <sheetView workbookViewId="0">
      <selection activeCell="A1" sqref="A1:V1"/>
    </sheetView>
  </sheetViews>
  <sheetFormatPr defaultColWidth="9" defaultRowHeight="15"/>
  <cols>
    <col min="1" max="1" width="13.875" customWidth="1"/>
    <col min="2" max="2" width="5.5" customWidth="1"/>
    <col min="3" max="3" width="6.5" customWidth="1"/>
    <col min="4" max="22" width="7.5" customWidth="1"/>
    <col min="23" max="23" width="8.5" customWidth="1"/>
  </cols>
  <sheetData>
    <row r="1" ht="25.5" spans="1:32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4" spans="1:32">
      <c r="A4" s="2" t="s">
        <v>151</v>
      </c>
      <c r="B4" s="2">
        <v>0</v>
      </c>
      <c r="C4" s="2">
        <v>6.691</v>
      </c>
      <c r="D4" s="2">
        <v>6.791</v>
      </c>
      <c r="E4" s="2">
        <v>6.891</v>
      </c>
      <c r="F4" s="2">
        <v>6.991</v>
      </c>
      <c r="G4" s="2">
        <v>7.091</v>
      </c>
      <c r="H4" s="2">
        <v>7.291</v>
      </c>
      <c r="I4" s="2">
        <v>7.491</v>
      </c>
      <c r="J4" s="2">
        <v>7.691</v>
      </c>
      <c r="K4" s="2">
        <v>7.891</v>
      </c>
      <c r="L4" s="2">
        <v>8.091</v>
      </c>
      <c r="M4" s="2">
        <v>8.291</v>
      </c>
      <c r="N4" s="2">
        <v>8.491</v>
      </c>
      <c r="O4" s="2">
        <v>8.691</v>
      </c>
      <c r="P4" s="2">
        <v>8.891</v>
      </c>
      <c r="Q4" s="2">
        <v>9.091</v>
      </c>
      <c r="R4" s="2">
        <v>9.291</v>
      </c>
      <c r="S4" s="2">
        <v>9.491</v>
      </c>
      <c r="T4" s="2">
        <v>9.691</v>
      </c>
      <c r="U4" s="2">
        <v>9.891</v>
      </c>
      <c r="V4" s="2">
        <v>10.091</v>
      </c>
    </row>
    <row r="5" spans="1:32">
      <c r="A5" s="2" t="s">
        <v>152</v>
      </c>
      <c r="B5" s="2">
        <v>0</v>
      </c>
      <c r="C5" s="2">
        <v>7.491</v>
      </c>
      <c r="D5" s="2">
        <v>7.591</v>
      </c>
      <c r="E5" s="2">
        <v>7.691</v>
      </c>
      <c r="F5" s="2">
        <v>7.991</v>
      </c>
      <c r="G5" s="2">
        <v>8.291</v>
      </c>
      <c r="H5" s="2">
        <v>8.491</v>
      </c>
      <c r="I5" s="2">
        <v>8.691</v>
      </c>
      <c r="J5" s="2">
        <v>8.891</v>
      </c>
      <c r="K5" s="2">
        <v>9.091</v>
      </c>
      <c r="L5" s="2">
        <v>9.291</v>
      </c>
      <c r="M5" s="2">
        <v>9.491</v>
      </c>
      <c r="N5" s="2">
        <v>9.691</v>
      </c>
      <c r="O5" s="2">
        <v>9.891</v>
      </c>
      <c r="P5" s="2">
        <v>10.091</v>
      </c>
      <c r="Q5" s="2">
        <v>10.291</v>
      </c>
      <c r="R5" s="2">
        <v>10.491</v>
      </c>
      <c r="S5" s="2">
        <v>10.691</v>
      </c>
      <c r="T5" s="2">
        <v>10.891</v>
      </c>
      <c r="U5" s="2">
        <v>11.091</v>
      </c>
      <c r="V5" s="2">
        <v>11.291</v>
      </c>
    </row>
    <row r="6" spans="1:32">
      <c r="A6" s="2" t="s">
        <v>15</v>
      </c>
      <c r="B6" s="2">
        <v>100</v>
      </c>
      <c r="C6" s="2">
        <v>95</v>
      </c>
      <c r="D6" s="2">
        <v>90</v>
      </c>
      <c r="E6" s="2">
        <v>85</v>
      </c>
      <c r="F6" s="2">
        <v>80</v>
      </c>
      <c r="G6" s="2">
        <v>78</v>
      </c>
      <c r="H6" s="2">
        <v>76</v>
      </c>
      <c r="I6" s="2">
        <v>74</v>
      </c>
      <c r="J6" s="2">
        <v>72</v>
      </c>
      <c r="K6" s="2">
        <v>70</v>
      </c>
      <c r="L6" s="2">
        <v>68</v>
      </c>
      <c r="M6" s="2">
        <v>66</v>
      </c>
      <c r="N6" s="2">
        <v>64</v>
      </c>
      <c r="O6" s="2">
        <v>62</v>
      </c>
      <c r="P6" s="2">
        <v>60</v>
      </c>
      <c r="Q6" s="2">
        <v>50</v>
      </c>
      <c r="R6" s="2">
        <v>40</v>
      </c>
      <c r="S6" s="2">
        <v>30</v>
      </c>
      <c r="T6" s="2">
        <v>20</v>
      </c>
      <c r="U6" s="2">
        <v>10</v>
      </c>
      <c r="V6" s="2">
        <v>0</v>
      </c>
    </row>
    <row r="8" spans="1:32">
      <c r="A8" s="2" t="s">
        <v>153</v>
      </c>
      <c r="B8" s="2">
        <v>0</v>
      </c>
      <c r="C8" s="2">
        <v>185</v>
      </c>
      <c r="D8" s="2">
        <v>190</v>
      </c>
      <c r="E8" s="2">
        <v>195</v>
      </c>
      <c r="F8" s="2">
        <v>200</v>
      </c>
      <c r="G8" s="2">
        <v>205</v>
      </c>
      <c r="H8" s="2">
        <v>210</v>
      </c>
      <c r="I8" s="2">
        <v>214</v>
      </c>
      <c r="J8" s="2">
        <v>218</v>
      </c>
      <c r="K8" s="2">
        <v>222</v>
      </c>
      <c r="L8" s="2">
        <v>226</v>
      </c>
      <c r="M8" s="2">
        <v>230</v>
      </c>
      <c r="N8" s="2">
        <v>234</v>
      </c>
      <c r="O8" s="2">
        <v>238</v>
      </c>
      <c r="P8" s="2">
        <v>242</v>
      </c>
      <c r="Q8" s="2">
        <v>246</v>
      </c>
      <c r="R8" s="2">
        <v>250</v>
      </c>
      <c r="S8" s="2">
        <v>258</v>
      </c>
      <c r="T8" s="2">
        <v>265</v>
      </c>
      <c r="U8" s="2">
        <v>270</v>
      </c>
      <c r="V8" s="2">
        <v>275</v>
      </c>
    </row>
    <row r="9" spans="1:32">
      <c r="A9" s="2" t="s">
        <v>154</v>
      </c>
      <c r="B9" s="2">
        <v>0</v>
      </c>
      <c r="C9" s="2">
        <v>127</v>
      </c>
      <c r="D9" s="2">
        <v>132</v>
      </c>
      <c r="E9" s="2">
        <v>137</v>
      </c>
      <c r="F9" s="2">
        <v>142</v>
      </c>
      <c r="G9" s="2">
        <v>147</v>
      </c>
      <c r="H9" s="2">
        <v>152</v>
      </c>
      <c r="I9" s="2">
        <v>155</v>
      </c>
      <c r="J9" s="2">
        <v>158</v>
      </c>
      <c r="K9" s="2">
        <v>161</v>
      </c>
      <c r="L9" s="2">
        <v>164</v>
      </c>
      <c r="M9" s="2">
        <v>167</v>
      </c>
      <c r="N9" s="2">
        <v>170</v>
      </c>
      <c r="O9" s="2">
        <v>173</v>
      </c>
      <c r="P9" s="2">
        <v>176</v>
      </c>
      <c r="Q9" s="2">
        <v>179</v>
      </c>
      <c r="R9" s="2">
        <v>182</v>
      </c>
      <c r="S9" s="2">
        <v>189</v>
      </c>
      <c r="T9" s="2">
        <v>196</v>
      </c>
      <c r="U9" s="2">
        <v>202</v>
      </c>
      <c r="V9" s="3">
        <v>208</v>
      </c>
    </row>
    <row r="10" spans="1:32">
      <c r="A10" s="2" t="s">
        <v>15</v>
      </c>
      <c r="B10" s="2">
        <v>0</v>
      </c>
      <c r="C10" s="2">
        <v>10</v>
      </c>
      <c r="D10" s="2">
        <v>20</v>
      </c>
      <c r="E10" s="2">
        <v>30</v>
      </c>
      <c r="F10" s="2">
        <v>40</v>
      </c>
      <c r="G10" s="2">
        <v>50</v>
      </c>
      <c r="H10" s="2">
        <v>60</v>
      </c>
      <c r="I10" s="2">
        <v>62</v>
      </c>
      <c r="J10" s="2">
        <v>64</v>
      </c>
      <c r="K10" s="2">
        <v>66</v>
      </c>
      <c r="L10" s="2">
        <v>68</v>
      </c>
      <c r="M10" s="2">
        <v>70</v>
      </c>
      <c r="N10" s="2">
        <v>72</v>
      </c>
      <c r="O10" s="2">
        <v>74</v>
      </c>
      <c r="P10" s="2">
        <v>76</v>
      </c>
      <c r="Q10" s="2">
        <v>78</v>
      </c>
      <c r="R10" s="2">
        <v>80</v>
      </c>
      <c r="S10" s="2">
        <v>85</v>
      </c>
      <c r="T10" s="2">
        <v>90</v>
      </c>
      <c r="U10" s="2">
        <v>95</v>
      </c>
      <c r="V10" s="2">
        <v>100</v>
      </c>
    </row>
    <row r="12" spans="1:32">
      <c r="A12" s="2" t="s">
        <v>155</v>
      </c>
      <c r="B12" s="2">
        <v>0</v>
      </c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/>
      <c r="J12" s="2"/>
      <c r="K12" s="2"/>
      <c r="L12" s="2"/>
      <c r="M12" s="2">
        <v>7</v>
      </c>
      <c r="N12" s="2"/>
      <c r="O12" s="2"/>
      <c r="P12" s="2"/>
      <c r="Q12" s="2"/>
      <c r="R12" s="2">
        <v>8</v>
      </c>
      <c r="S12" s="2"/>
      <c r="T12" s="2">
        <v>9</v>
      </c>
      <c r="U12" s="2"/>
      <c r="V12" s="2">
        <v>10</v>
      </c>
      <c r="W12" s="2">
        <v>11</v>
      </c>
      <c r="X12" s="2">
        <v>12</v>
      </c>
      <c r="Y12" s="2">
        <v>13</v>
      </c>
      <c r="Z12" s="2">
        <v>14</v>
      </c>
      <c r="AA12" s="2">
        <v>15</v>
      </c>
      <c r="AB12" s="2">
        <v>16</v>
      </c>
      <c r="AC12" s="2">
        <v>17</v>
      </c>
      <c r="AD12" s="2">
        <v>18</v>
      </c>
      <c r="AE12" s="4">
        <v>19</v>
      </c>
      <c r="AF12" s="2">
        <v>20</v>
      </c>
    </row>
    <row r="13" spans="1:32">
      <c r="A13" s="2" t="s">
        <v>156</v>
      </c>
      <c r="B13" s="2">
        <v>0</v>
      </c>
      <c r="C13" s="2">
        <v>17</v>
      </c>
      <c r="D13" s="2">
        <v>19</v>
      </c>
      <c r="E13" s="2">
        <v>21</v>
      </c>
      <c r="F13" s="2">
        <v>23</v>
      </c>
      <c r="G13" s="2">
        <v>25</v>
      </c>
      <c r="H13" s="2">
        <v>27</v>
      </c>
      <c r="I13" s="2">
        <v>29</v>
      </c>
      <c r="J13" s="2">
        <v>31</v>
      </c>
      <c r="K13" s="2">
        <v>33</v>
      </c>
      <c r="L13" s="2">
        <v>35</v>
      </c>
      <c r="M13" s="2">
        <v>37</v>
      </c>
      <c r="N13" s="2">
        <v>39</v>
      </c>
      <c r="O13" s="2">
        <v>41</v>
      </c>
      <c r="P13" s="2">
        <v>43</v>
      </c>
      <c r="Q13" s="2">
        <v>45</v>
      </c>
      <c r="R13" s="2">
        <v>47</v>
      </c>
      <c r="S13" s="2">
        <v>50</v>
      </c>
      <c r="T13" s="2">
        <v>53</v>
      </c>
      <c r="U13" s="2">
        <v>55</v>
      </c>
      <c r="V13" s="2">
        <v>57</v>
      </c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 t="s">
        <v>15</v>
      </c>
      <c r="B14" s="2">
        <v>0</v>
      </c>
      <c r="C14" s="2">
        <v>10</v>
      </c>
      <c r="D14" s="2">
        <v>20</v>
      </c>
      <c r="E14" s="2">
        <v>30</v>
      </c>
      <c r="F14" s="2">
        <v>40</v>
      </c>
      <c r="G14" s="2">
        <v>50</v>
      </c>
      <c r="H14" s="2">
        <v>60</v>
      </c>
      <c r="I14" s="2">
        <v>62</v>
      </c>
      <c r="J14" s="2">
        <v>64</v>
      </c>
      <c r="K14" s="2">
        <v>66</v>
      </c>
      <c r="L14" s="2">
        <v>68</v>
      </c>
      <c r="M14" s="2">
        <v>70</v>
      </c>
      <c r="N14" s="2">
        <v>72</v>
      </c>
      <c r="O14" s="2">
        <v>74</v>
      </c>
      <c r="P14" s="2">
        <v>76</v>
      </c>
      <c r="Q14" s="2">
        <v>78</v>
      </c>
      <c r="R14" s="2">
        <v>80</v>
      </c>
      <c r="S14" s="2">
        <v>85</v>
      </c>
      <c r="T14" s="2">
        <v>90</v>
      </c>
      <c r="U14" s="2">
        <v>95</v>
      </c>
      <c r="V14" s="2">
        <v>100</v>
      </c>
      <c r="W14" s="2">
        <v>101</v>
      </c>
      <c r="X14" s="2">
        <v>102</v>
      </c>
      <c r="Y14" s="2">
        <v>103</v>
      </c>
      <c r="Z14" s="2">
        <v>104</v>
      </c>
      <c r="AA14" s="2">
        <v>105</v>
      </c>
      <c r="AB14" s="2">
        <v>106</v>
      </c>
      <c r="AC14" s="2">
        <v>107</v>
      </c>
      <c r="AD14" s="2">
        <v>108</v>
      </c>
      <c r="AE14" s="2">
        <v>109</v>
      </c>
      <c r="AF14" s="2">
        <v>110</v>
      </c>
    </row>
    <row r="16" spans="1:32">
      <c r="A16" s="2" t="s">
        <v>157</v>
      </c>
      <c r="B16" s="2">
        <v>0</v>
      </c>
      <c r="C16" s="2">
        <v>3.151</v>
      </c>
      <c r="D16" s="2">
        <v>3.201</v>
      </c>
      <c r="E16" s="2">
        <v>3.251</v>
      </c>
      <c r="F16" s="2">
        <v>3.321</v>
      </c>
      <c r="G16" s="2">
        <v>3.401</v>
      </c>
      <c r="H16" s="2">
        <v>3.451</v>
      </c>
      <c r="I16" s="2">
        <v>3.501</v>
      </c>
      <c r="J16" s="2">
        <v>3.551</v>
      </c>
      <c r="K16" s="2">
        <v>4.001</v>
      </c>
      <c r="L16" s="2">
        <v>4.051</v>
      </c>
      <c r="M16" s="2">
        <v>4.101</v>
      </c>
      <c r="N16" s="2">
        <v>4.151</v>
      </c>
      <c r="O16" s="2">
        <v>4.201</v>
      </c>
      <c r="P16" s="2">
        <v>4.251</v>
      </c>
      <c r="Q16" s="2">
        <v>4.301</v>
      </c>
      <c r="R16" s="2">
        <v>4.501</v>
      </c>
      <c r="S16" s="2">
        <v>5.101</v>
      </c>
      <c r="T16" s="2">
        <v>5.301</v>
      </c>
      <c r="U16" s="2">
        <v>5.501</v>
      </c>
      <c r="V16" s="2">
        <v>6.101</v>
      </c>
    </row>
    <row r="17" spans="1:22">
      <c r="A17" s="2" t="s">
        <v>158</v>
      </c>
      <c r="B17" s="2">
        <v>0</v>
      </c>
      <c r="C17" s="2">
        <v>3.161</v>
      </c>
      <c r="D17" s="2">
        <v>3.221</v>
      </c>
      <c r="E17" s="2">
        <v>3.281</v>
      </c>
      <c r="F17" s="2">
        <v>3.351</v>
      </c>
      <c r="G17" s="2">
        <v>3.421</v>
      </c>
      <c r="H17" s="2">
        <v>3.471</v>
      </c>
      <c r="I17" s="2">
        <v>3.521</v>
      </c>
      <c r="J17" s="2">
        <v>3.571</v>
      </c>
      <c r="K17" s="2">
        <v>4.021</v>
      </c>
      <c r="L17" s="2">
        <v>4.071</v>
      </c>
      <c r="M17" s="2">
        <v>4.121</v>
      </c>
      <c r="N17" s="2">
        <v>4.171</v>
      </c>
      <c r="O17" s="2">
        <v>4.221</v>
      </c>
      <c r="P17" s="2">
        <v>4.271</v>
      </c>
      <c r="Q17" s="2">
        <v>4.321</v>
      </c>
      <c r="R17" s="2">
        <v>4.421</v>
      </c>
      <c r="S17" s="2">
        <v>4.521</v>
      </c>
      <c r="T17" s="2">
        <v>5.021</v>
      </c>
      <c r="U17" s="2">
        <v>5.121</v>
      </c>
      <c r="V17" s="2">
        <v>5.221</v>
      </c>
    </row>
    <row r="18" spans="1:22">
      <c r="A18" s="2" t="s">
        <v>15</v>
      </c>
      <c r="B18" s="2">
        <v>100</v>
      </c>
      <c r="C18" s="2">
        <v>95</v>
      </c>
      <c r="D18" s="2">
        <v>90</v>
      </c>
      <c r="E18" s="2">
        <v>85</v>
      </c>
      <c r="F18" s="2">
        <v>80</v>
      </c>
      <c r="G18" s="2">
        <v>78</v>
      </c>
      <c r="H18" s="2">
        <v>76</v>
      </c>
      <c r="I18" s="2">
        <v>74</v>
      </c>
      <c r="J18" s="2">
        <v>72</v>
      </c>
      <c r="K18" s="2">
        <v>70</v>
      </c>
      <c r="L18" s="2">
        <v>68</v>
      </c>
      <c r="M18" s="2">
        <v>66</v>
      </c>
      <c r="N18" s="2">
        <v>64</v>
      </c>
      <c r="O18" s="2">
        <v>62</v>
      </c>
      <c r="P18" s="2">
        <v>60</v>
      </c>
      <c r="Q18" s="2">
        <v>50</v>
      </c>
      <c r="R18" s="2">
        <v>40</v>
      </c>
      <c r="S18" s="2">
        <v>30</v>
      </c>
      <c r="T18" s="2">
        <v>20</v>
      </c>
      <c r="U18" s="2">
        <v>10</v>
      </c>
      <c r="V18" s="2">
        <v>0</v>
      </c>
    </row>
    <row r="31" ht="25.5" spans="1:22">
      <c r="A31" s="5" t="s">
        <v>159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22">
      <c r="A32" s="6" t="s">
        <v>160</v>
      </c>
      <c r="B32" s="7"/>
      <c r="C32" s="8" t="s">
        <v>161</v>
      </c>
      <c r="D32" s="9"/>
      <c r="E32" s="8" t="s">
        <v>162</v>
      </c>
      <c r="F32" s="9"/>
      <c r="G32" s="8" t="s">
        <v>163</v>
      </c>
      <c r="H32" s="9"/>
      <c r="I32" s="8" t="s">
        <v>18</v>
      </c>
      <c r="J32" s="9"/>
      <c r="K32" s="8" t="s">
        <v>155</v>
      </c>
      <c r="L32" s="9"/>
      <c r="M32" s="8" t="s">
        <v>164</v>
      </c>
      <c r="N32" s="9"/>
    </row>
    <row r="33" spans="1:14">
      <c r="A33" s="10"/>
      <c r="B33" s="11"/>
      <c r="C33" s="8" t="s">
        <v>165</v>
      </c>
      <c r="D33" s="9"/>
      <c r="E33" s="8" t="s">
        <v>166</v>
      </c>
      <c r="F33" s="9"/>
      <c r="G33" s="8" t="s">
        <v>167</v>
      </c>
      <c r="H33" s="9"/>
      <c r="I33" s="8" t="s">
        <v>167</v>
      </c>
      <c r="J33" s="9"/>
      <c r="K33" s="8" t="s">
        <v>168</v>
      </c>
      <c r="L33" s="9"/>
      <c r="M33" s="8" t="s">
        <v>169</v>
      </c>
      <c r="N33" s="9"/>
    </row>
    <row r="34" spans="1:14">
      <c r="A34" s="12"/>
      <c r="B34" s="12" t="s">
        <v>170</v>
      </c>
      <c r="C34" s="13" t="s">
        <v>171</v>
      </c>
      <c r="D34" s="13" t="s">
        <v>172</v>
      </c>
      <c r="E34" s="13" t="s">
        <v>171</v>
      </c>
      <c r="F34" s="13" t="s">
        <v>172</v>
      </c>
      <c r="G34" s="13" t="s">
        <v>171</v>
      </c>
      <c r="H34" s="13" t="s">
        <v>172</v>
      </c>
      <c r="I34" s="13" t="s">
        <v>171</v>
      </c>
      <c r="J34" s="13" t="s">
        <v>172</v>
      </c>
      <c r="K34" s="13" t="s">
        <v>171</v>
      </c>
      <c r="L34" s="13" t="s">
        <v>172</v>
      </c>
      <c r="M34" s="13" t="s">
        <v>171</v>
      </c>
      <c r="N34" s="13" t="s">
        <v>172</v>
      </c>
    </row>
    <row r="35" spans="1:14">
      <c r="A35" s="14"/>
      <c r="B35" s="14"/>
      <c r="C35" s="13" t="s">
        <v>173</v>
      </c>
      <c r="D35" s="13" t="s">
        <v>174</v>
      </c>
      <c r="E35" s="13" t="s">
        <v>173</v>
      </c>
      <c r="F35" s="13" t="s">
        <v>174</v>
      </c>
      <c r="G35" s="13" t="s">
        <v>173</v>
      </c>
      <c r="H35" s="13" t="s">
        <v>174</v>
      </c>
      <c r="I35" s="13" t="s">
        <v>173</v>
      </c>
      <c r="J35" s="13" t="s">
        <v>174</v>
      </c>
      <c r="K35" s="13" t="s">
        <v>173</v>
      </c>
      <c r="L35" s="13" t="s">
        <v>174</v>
      </c>
      <c r="M35" s="13" t="s">
        <v>173</v>
      </c>
      <c r="N35" s="13" t="s">
        <v>174</v>
      </c>
    </row>
    <row r="36" spans="1:14">
      <c r="A36" s="15" t="s">
        <v>175</v>
      </c>
      <c r="B36" s="16">
        <v>100</v>
      </c>
      <c r="C36" s="16">
        <v>5040</v>
      </c>
      <c r="D36" s="16">
        <v>5140</v>
      </c>
      <c r="E36" s="17">
        <v>6.7</v>
      </c>
      <c r="F36" s="17">
        <v>6.6</v>
      </c>
      <c r="G36" s="17">
        <v>24.9</v>
      </c>
      <c r="H36" s="17">
        <v>25.1</v>
      </c>
      <c r="I36" s="16">
        <v>273</v>
      </c>
      <c r="J36" s="16">
        <v>275</v>
      </c>
      <c r="K36" s="16">
        <v>19</v>
      </c>
      <c r="L36" s="16">
        <v>20</v>
      </c>
      <c r="M36" s="16" t="s">
        <v>176</v>
      </c>
      <c r="N36" s="16" t="s">
        <v>177</v>
      </c>
    </row>
    <row r="37" spans="1:14">
      <c r="A37" s="18"/>
      <c r="B37" s="16">
        <v>95</v>
      </c>
      <c r="C37" s="16">
        <v>4920</v>
      </c>
      <c r="D37" s="16">
        <v>5020</v>
      </c>
      <c r="E37" s="17">
        <v>6.8</v>
      </c>
      <c r="F37" s="17">
        <v>6.7</v>
      </c>
      <c r="G37" s="17">
        <v>23.1</v>
      </c>
      <c r="H37" s="17">
        <v>23.3</v>
      </c>
      <c r="I37" s="16">
        <v>268</v>
      </c>
      <c r="J37" s="16">
        <v>270</v>
      </c>
      <c r="K37" s="16">
        <v>18</v>
      </c>
      <c r="L37" s="16">
        <v>19</v>
      </c>
      <c r="M37" s="16" t="s">
        <v>178</v>
      </c>
      <c r="N37" s="16" t="s">
        <v>179</v>
      </c>
    </row>
    <row r="38" spans="1:14">
      <c r="A38" s="19"/>
      <c r="B38" s="16">
        <v>90</v>
      </c>
      <c r="C38" s="16">
        <v>4800</v>
      </c>
      <c r="D38" s="16">
        <v>4900</v>
      </c>
      <c r="E38" s="17">
        <v>6.9</v>
      </c>
      <c r="F38" s="17">
        <v>6.8</v>
      </c>
      <c r="G38" s="17">
        <v>21.3</v>
      </c>
      <c r="H38" s="17">
        <v>21.5</v>
      </c>
      <c r="I38" s="16">
        <v>263</v>
      </c>
      <c r="J38" s="16">
        <v>265</v>
      </c>
      <c r="K38" s="16">
        <v>17</v>
      </c>
      <c r="L38" s="16">
        <v>18</v>
      </c>
      <c r="M38" s="16" t="s">
        <v>180</v>
      </c>
      <c r="N38" s="16" t="s">
        <v>181</v>
      </c>
    </row>
    <row r="39" spans="1:14">
      <c r="A39" s="20" t="s">
        <v>182</v>
      </c>
      <c r="B39" s="21">
        <v>85</v>
      </c>
      <c r="C39" s="21">
        <v>4550</v>
      </c>
      <c r="D39" s="21">
        <v>4650</v>
      </c>
      <c r="E39" s="22">
        <v>7</v>
      </c>
      <c r="F39" s="22">
        <v>6.9</v>
      </c>
      <c r="G39" s="22">
        <v>19.5</v>
      </c>
      <c r="H39" s="22">
        <v>19.9</v>
      </c>
      <c r="I39" s="21">
        <v>256</v>
      </c>
      <c r="J39" s="21">
        <v>258</v>
      </c>
      <c r="K39" s="21">
        <v>16</v>
      </c>
      <c r="L39" s="21">
        <v>17</v>
      </c>
      <c r="M39" s="21" t="s">
        <v>183</v>
      </c>
      <c r="N39" s="21" t="s">
        <v>184</v>
      </c>
    </row>
    <row r="40" spans="1:14">
      <c r="A40" s="23"/>
      <c r="B40" s="21">
        <v>80</v>
      </c>
      <c r="C40" s="21">
        <v>4300</v>
      </c>
      <c r="D40" s="21">
        <v>4400</v>
      </c>
      <c r="E40" s="22">
        <v>7.1</v>
      </c>
      <c r="F40" s="22">
        <v>7</v>
      </c>
      <c r="G40" s="22">
        <v>17.7</v>
      </c>
      <c r="H40" s="22">
        <v>18.2</v>
      </c>
      <c r="I40" s="21">
        <v>248</v>
      </c>
      <c r="J40" s="21">
        <v>250</v>
      </c>
      <c r="K40" s="21">
        <v>15</v>
      </c>
      <c r="L40" s="21">
        <v>16</v>
      </c>
      <c r="M40" s="21" t="s">
        <v>185</v>
      </c>
      <c r="N40" s="21" t="s">
        <v>186</v>
      </c>
    </row>
    <row r="41" spans="1:14">
      <c r="A41" s="24" t="s">
        <v>187</v>
      </c>
      <c r="B41" s="25">
        <v>78</v>
      </c>
      <c r="C41" s="25">
        <v>4180</v>
      </c>
      <c r="D41" s="25">
        <v>4280</v>
      </c>
      <c r="E41" s="26">
        <v>7.3</v>
      </c>
      <c r="F41" s="26">
        <v>7.2</v>
      </c>
      <c r="G41" s="26">
        <v>16.3</v>
      </c>
      <c r="H41" s="26">
        <v>16.8</v>
      </c>
      <c r="I41" s="25">
        <v>244</v>
      </c>
      <c r="J41" s="25">
        <v>246</v>
      </c>
      <c r="K41" s="27"/>
      <c r="L41" s="27"/>
      <c r="M41" s="25" t="s">
        <v>188</v>
      </c>
      <c r="N41" s="25" t="s">
        <v>189</v>
      </c>
    </row>
    <row r="42" spans="1:14">
      <c r="A42" s="28"/>
      <c r="B42" s="25">
        <v>76</v>
      </c>
      <c r="C42" s="25">
        <v>4060</v>
      </c>
      <c r="D42" s="25">
        <v>4160</v>
      </c>
      <c r="E42" s="26">
        <v>7.5</v>
      </c>
      <c r="F42" s="26">
        <v>7.4</v>
      </c>
      <c r="G42" s="26">
        <v>14.9</v>
      </c>
      <c r="H42" s="26">
        <v>15.4</v>
      </c>
      <c r="I42" s="25">
        <v>240</v>
      </c>
      <c r="J42" s="25">
        <v>242</v>
      </c>
      <c r="K42" s="25">
        <v>14</v>
      </c>
      <c r="L42" s="25">
        <v>15</v>
      </c>
      <c r="M42" s="25" t="s">
        <v>190</v>
      </c>
      <c r="N42" s="25" t="s">
        <v>191</v>
      </c>
    </row>
    <row r="43" spans="1:14">
      <c r="A43" s="28"/>
      <c r="B43" s="25">
        <v>74</v>
      </c>
      <c r="C43" s="25">
        <v>3940</v>
      </c>
      <c r="D43" s="25">
        <v>4040</v>
      </c>
      <c r="E43" s="26">
        <v>7.7</v>
      </c>
      <c r="F43" s="26">
        <v>7.6</v>
      </c>
      <c r="G43" s="26">
        <v>13.5</v>
      </c>
      <c r="H43" s="26">
        <v>14</v>
      </c>
      <c r="I43" s="25">
        <v>236</v>
      </c>
      <c r="J43" s="25">
        <v>238</v>
      </c>
      <c r="K43" s="27"/>
      <c r="L43" s="27"/>
      <c r="M43" s="25" t="s">
        <v>192</v>
      </c>
      <c r="N43" s="25" t="s">
        <v>193</v>
      </c>
    </row>
    <row r="44" spans="1:14">
      <c r="A44" s="28"/>
      <c r="B44" s="25">
        <v>72</v>
      </c>
      <c r="C44" s="25">
        <v>3820</v>
      </c>
      <c r="D44" s="25">
        <v>3920</v>
      </c>
      <c r="E44" s="26">
        <v>7.9</v>
      </c>
      <c r="F44" s="26">
        <v>7.8</v>
      </c>
      <c r="G44" s="26">
        <v>12.1</v>
      </c>
      <c r="H44" s="26">
        <v>12.6</v>
      </c>
      <c r="I44" s="25">
        <v>232</v>
      </c>
      <c r="J44" s="25">
        <v>234</v>
      </c>
      <c r="K44" s="25">
        <v>13</v>
      </c>
      <c r="L44" s="25">
        <v>14</v>
      </c>
      <c r="M44" s="25" t="s">
        <v>194</v>
      </c>
      <c r="N44" s="25" t="s">
        <v>195</v>
      </c>
    </row>
    <row r="45" spans="1:14">
      <c r="A45" s="28"/>
      <c r="B45" s="25">
        <v>70</v>
      </c>
      <c r="C45" s="25">
        <v>3700</v>
      </c>
      <c r="D45" s="25">
        <v>3800</v>
      </c>
      <c r="E45" s="26">
        <v>8.1</v>
      </c>
      <c r="F45" s="26">
        <v>8</v>
      </c>
      <c r="G45" s="26">
        <v>10.7</v>
      </c>
      <c r="H45" s="26">
        <v>11.2</v>
      </c>
      <c r="I45" s="25">
        <v>228</v>
      </c>
      <c r="J45" s="25">
        <v>230</v>
      </c>
      <c r="K45" s="27"/>
      <c r="L45" s="27"/>
      <c r="M45" s="25" t="s">
        <v>196</v>
      </c>
      <c r="N45" s="25" t="s">
        <v>197</v>
      </c>
    </row>
    <row r="46" spans="1:14">
      <c r="A46" s="28"/>
      <c r="B46" s="25">
        <v>68</v>
      </c>
      <c r="C46" s="25">
        <v>3580</v>
      </c>
      <c r="D46" s="25">
        <v>3680</v>
      </c>
      <c r="E46" s="26">
        <v>8.3</v>
      </c>
      <c r="F46" s="26">
        <v>8.2</v>
      </c>
      <c r="G46" s="26">
        <v>9.3</v>
      </c>
      <c r="H46" s="26">
        <v>9.8</v>
      </c>
      <c r="I46" s="25">
        <v>224</v>
      </c>
      <c r="J46" s="25">
        <v>226</v>
      </c>
      <c r="K46" s="25">
        <v>12</v>
      </c>
      <c r="L46" s="25">
        <v>13</v>
      </c>
      <c r="M46" s="25" t="s">
        <v>198</v>
      </c>
      <c r="N46" s="25" t="s">
        <v>199</v>
      </c>
    </row>
    <row r="47" spans="1:14">
      <c r="A47" s="28"/>
      <c r="B47" s="25">
        <v>66</v>
      </c>
      <c r="C47" s="25">
        <v>3460</v>
      </c>
      <c r="D47" s="25">
        <v>3560</v>
      </c>
      <c r="E47" s="26">
        <v>8.5</v>
      </c>
      <c r="F47" s="26">
        <v>8.4</v>
      </c>
      <c r="G47" s="26">
        <v>7.9</v>
      </c>
      <c r="H47" s="26">
        <v>8.4</v>
      </c>
      <c r="I47" s="25">
        <v>220</v>
      </c>
      <c r="J47" s="25">
        <v>222</v>
      </c>
      <c r="K47" s="27"/>
      <c r="L47" s="27"/>
      <c r="M47" s="25" t="s">
        <v>200</v>
      </c>
      <c r="N47" s="25" t="s">
        <v>201</v>
      </c>
    </row>
    <row r="48" spans="1:14">
      <c r="A48" s="28"/>
      <c r="B48" s="25">
        <v>64</v>
      </c>
      <c r="C48" s="25">
        <v>3340</v>
      </c>
      <c r="D48" s="25">
        <v>3440</v>
      </c>
      <c r="E48" s="26">
        <v>8.7</v>
      </c>
      <c r="F48" s="26">
        <v>8.6</v>
      </c>
      <c r="G48" s="26">
        <v>6.5</v>
      </c>
      <c r="H48" s="26">
        <v>7</v>
      </c>
      <c r="I48" s="25">
        <v>216</v>
      </c>
      <c r="J48" s="25">
        <v>218</v>
      </c>
      <c r="K48" s="25">
        <v>11</v>
      </c>
      <c r="L48" s="25">
        <v>12</v>
      </c>
      <c r="M48" s="25" t="s">
        <v>202</v>
      </c>
      <c r="N48" s="25" t="s">
        <v>203</v>
      </c>
    </row>
    <row r="49" spans="1:14">
      <c r="A49" s="28"/>
      <c r="B49" s="25">
        <v>62</v>
      </c>
      <c r="C49" s="25">
        <v>3220</v>
      </c>
      <c r="D49" s="25">
        <v>3320</v>
      </c>
      <c r="E49" s="26">
        <v>8.9</v>
      </c>
      <c r="F49" s="26">
        <v>8.8</v>
      </c>
      <c r="G49" s="26">
        <v>5.1</v>
      </c>
      <c r="H49" s="26">
        <v>5.6</v>
      </c>
      <c r="I49" s="25">
        <v>212</v>
      </c>
      <c r="J49" s="25">
        <v>214</v>
      </c>
      <c r="K49" s="27"/>
      <c r="L49" s="27"/>
      <c r="M49" s="25" t="s">
        <v>204</v>
      </c>
      <c r="N49" s="25" t="s">
        <v>205</v>
      </c>
    </row>
    <row r="50" spans="1:14">
      <c r="A50" s="29"/>
      <c r="B50" s="25">
        <v>60</v>
      </c>
      <c r="C50" s="25">
        <v>3100</v>
      </c>
      <c r="D50" s="25">
        <v>3200</v>
      </c>
      <c r="E50" s="26">
        <v>9.1</v>
      </c>
      <c r="F50" s="26">
        <v>9</v>
      </c>
      <c r="G50" s="26">
        <v>3.7</v>
      </c>
      <c r="H50" s="26">
        <v>4.2</v>
      </c>
      <c r="I50" s="25">
        <v>208</v>
      </c>
      <c r="J50" s="25">
        <v>210</v>
      </c>
      <c r="K50" s="25">
        <v>10</v>
      </c>
      <c r="L50" s="25">
        <v>11</v>
      </c>
      <c r="M50" s="25" t="s">
        <v>206</v>
      </c>
      <c r="N50" s="25" t="s">
        <v>207</v>
      </c>
    </row>
    <row r="51" spans="1:14">
      <c r="A51" s="30" t="s">
        <v>208</v>
      </c>
      <c r="B51" s="31">
        <v>50</v>
      </c>
      <c r="C51" s="31">
        <v>2940</v>
      </c>
      <c r="D51" s="31">
        <v>3030</v>
      </c>
      <c r="E51" s="32">
        <v>9.3</v>
      </c>
      <c r="F51" s="32">
        <v>9.2</v>
      </c>
      <c r="G51" s="32">
        <v>2.7</v>
      </c>
      <c r="H51" s="32">
        <v>3.2</v>
      </c>
      <c r="I51" s="31">
        <v>203</v>
      </c>
      <c r="J51" s="31">
        <v>205</v>
      </c>
      <c r="K51" s="31">
        <v>9</v>
      </c>
      <c r="L51" s="31">
        <v>10</v>
      </c>
      <c r="M51" s="31" t="s">
        <v>209</v>
      </c>
      <c r="N51" s="31" t="s">
        <v>210</v>
      </c>
    </row>
    <row r="52" spans="1:14">
      <c r="A52" s="33"/>
      <c r="B52" s="31">
        <v>40</v>
      </c>
      <c r="C52" s="31">
        <v>2780</v>
      </c>
      <c r="D52" s="31">
        <v>2860</v>
      </c>
      <c r="E52" s="32">
        <v>9.5</v>
      </c>
      <c r="F52" s="32">
        <v>9.4</v>
      </c>
      <c r="G52" s="32">
        <v>1.7</v>
      </c>
      <c r="H52" s="32">
        <v>2.2</v>
      </c>
      <c r="I52" s="31">
        <v>198</v>
      </c>
      <c r="J52" s="31">
        <v>200</v>
      </c>
      <c r="K52" s="31">
        <v>8</v>
      </c>
      <c r="L52" s="31">
        <v>9</v>
      </c>
      <c r="M52" s="31" t="s">
        <v>211</v>
      </c>
      <c r="N52" s="31" t="s">
        <v>212</v>
      </c>
    </row>
    <row r="53" spans="1:14">
      <c r="A53" s="33"/>
      <c r="B53" s="31">
        <v>30</v>
      </c>
      <c r="C53" s="31">
        <v>2620</v>
      </c>
      <c r="D53" s="31">
        <v>2690</v>
      </c>
      <c r="E53" s="32">
        <v>9.7</v>
      </c>
      <c r="F53" s="32">
        <v>9.6</v>
      </c>
      <c r="G53" s="32">
        <v>0.7</v>
      </c>
      <c r="H53" s="32">
        <v>1.2</v>
      </c>
      <c r="I53" s="31">
        <v>193</v>
      </c>
      <c r="J53" s="31">
        <v>195</v>
      </c>
      <c r="K53" s="31">
        <v>7</v>
      </c>
      <c r="L53" s="31">
        <v>8</v>
      </c>
      <c r="M53" s="31" t="s">
        <v>213</v>
      </c>
      <c r="N53" s="31" t="s">
        <v>214</v>
      </c>
    </row>
    <row r="54" spans="1:14">
      <c r="A54" s="33"/>
      <c r="B54" s="31">
        <v>20</v>
      </c>
      <c r="C54" s="31">
        <v>2460</v>
      </c>
      <c r="D54" s="31">
        <v>2520</v>
      </c>
      <c r="E54" s="32">
        <v>9.9</v>
      </c>
      <c r="F54" s="32">
        <v>9.8</v>
      </c>
      <c r="G54" s="32">
        <v>-0.3</v>
      </c>
      <c r="H54" s="32">
        <v>0.2</v>
      </c>
      <c r="I54" s="31">
        <v>188</v>
      </c>
      <c r="J54" s="31">
        <v>190</v>
      </c>
      <c r="K54" s="31">
        <v>6</v>
      </c>
      <c r="L54" s="31">
        <v>7</v>
      </c>
      <c r="M54" s="31" t="s">
        <v>215</v>
      </c>
      <c r="N54" s="31" t="s">
        <v>216</v>
      </c>
    </row>
    <row r="55" spans="1:14">
      <c r="A55" s="34"/>
      <c r="B55" s="31">
        <v>10</v>
      </c>
      <c r="C55" s="31">
        <v>2300</v>
      </c>
      <c r="D55" s="31">
        <v>2350</v>
      </c>
      <c r="E55" s="32">
        <v>10.1</v>
      </c>
      <c r="F55" s="32">
        <v>10</v>
      </c>
      <c r="G55" s="32">
        <v>-1.3</v>
      </c>
      <c r="H55" s="32">
        <v>-0.8</v>
      </c>
      <c r="I55" s="31">
        <v>183</v>
      </c>
      <c r="J55" s="31">
        <v>185</v>
      </c>
      <c r="K55" s="31">
        <v>5</v>
      </c>
      <c r="L55" s="31">
        <v>6</v>
      </c>
      <c r="M55" s="31" t="s">
        <v>217</v>
      </c>
      <c r="N55" s="31" t="s">
        <v>218</v>
      </c>
    </row>
    <row r="56" spans="1:14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spans="1:14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</row>
    <row r="58" ht="25.5" spans="1:14">
      <c r="A58" s="5" t="s">
        <v>219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>
      <c r="A59" s="36" t="s">
        <v>160</v>
      </c>
      <c r="B59" s="36"/>
      <c r="C59" s="36" t="s">
        <v>161</v>
      </c>
      <c r="D59" s="36"/>
      <c r="E59" s="36" t="s">
        <v>162</v>
      </c>
      <c r="F59" s="36"/>
      <c r="G59" s="36" t="s">
        <v>163</v>
      </c>
      <c r="H59" s="36"/>
      <c r="I59" s="36" t="s">
        <v>18</v>
      </c>
      <c r="J59" s="36"/>
      <c r="K59" s="36" t="s">
        <v>156</v>
      </c>
      <c r="L59" s="36"/>
      <c r="M59" s="36" t="s">
        <v>220</v>
      </c>
      <c r="N59" s="36"/>
    </row>
    <row r="60" spans="1:14">
      <c r="A60" s="36"/>
      <c r="B60" s="36"/>
      <c r="C60" s="36" t="s">
        <v>165</v>
      </c>
      <c r="D60" s="36"/>
      <c r="E60" s="36" t="s">
        <v>166</v>
      </c>
      <c r="F60" s="36"/>
      <c r="G60" s="36" t="s">
        <v>167</v>
      </c>
      <c r="H60" s="36"/>
      <c r="I60" s="36" t="s">
        <v>167</v>
      </c>
      <c r="J60" s="36"/>
      <c r="K60" s="36" t="s">
        <v>168</v>
      </c>
      <c r="L60" s="36"/>
      <c r="M60" s="36" t="s">
        <v>169</v>
      </c>
      <c r="N60" s="36"/>
    </row>
    <row r="61" spans="1:14">
      <c r="A61" s="37"/>
      <c r="B61" s="38" t="s">
        <v>170</v>
      </c>
      <c r="C61" s="36" t="s">
        <v>171</v>
      </c>
      <c r="D61" s="36" t="s">
        <v>172</v>
      </c>
      <c r="E61" s="36" t="s">
        <v>171</v>
      </c>
      <c r="F61" s="36" t="s">
        <v>172</v>
      </c>
      <c r="G61" s="36" t="s">
        <v>171</v>
      </c>
      <c r="H61" s="36" t="s">
        <v>172</v>
      </c>
      <c r="I61" s="36" t="s">
        <v>171</v>
      </c>
      <c r="J61" s="36" t="s">
        <v>172</v>
      </c>
      <c r="K61" s="36" t="s">
        <v>171</v>
      </c>
      <c r="L61" s="36" t="s">
        <v>172</v>
      </c>
      <c r="M61" s="36" t="s">
        <v>171</v>
      </c>
      <c r="N61" s="36" t="s">
        <v>172</v>
      </c>
    </row>
    <row r="62" spans="1:14">
      <c r="A62" s="39"/>
      <c r="B62" s="39"/>
      <c r="C62" s="36" t="s">
        <v>173</v>
      </c>
      <c r="D62" s="36" t="s">
        <v>174</v>
      </c>
      <c r="E62" s="36" t="s">
        <v>173</v>
      </c>
      <c r="F62" s="36" t="s">
        <v>174</v>
      </c>
      <c r="G62" s="36" t="s">
        <v>173</v>
      </c>
      <c r="H62" s="36" t="s">
        <v>174</v>
      </c>
      <c r="I62" s="36" t="s">
        <v>173</v>
      </c>
      <c r="J62" s="36" t="s">
        <v>174</v>
      </c>
      <c r="K62" s="36" t="s">
        <v>173</v>
      </c>
      <c r="L62" s="36" t="s">
        <v>174</v>
      </c>
      <c r="M62" s="36" t="s">
        <v>173</v>
      </c>
      <c r="N62" s="36" t="s">
        <v>174</v>
      </c>
    </row>
    <row r="63" spans="1:14">
      <c r="A63" s="40" t="s">
        <v>175</v>
      </c>
      <c r="B63" s="41">
        <v>100</v>
      </c>
      <c r="C63" s="41">
        <v>3400</v>
      </c>
      <c r="D63" s="41">
        <v>3450</v>
      </c>
      <c r="E63" s="42">
        <v>7.5</v>
      </c>
      <c r="F63" s="42">
        <v>7.4</v>
      </c>
      <c r="G63" s="42">
        <v>25.8</v>
      </c>
      <c r="H63" s="42">
        <v>26.3</v>
      </c>
      <c r="I63" s="41">
        <v>207</v>
      </c>
      <c r="J63" s="41">
        <v>208</v>
      </c>
      <c r="K63" s="41">
        <v>56</v>
      </c>
      <c r="L63" s="41">
        <v>57</v>
      </c>
      <c r="M63" s="41" t="s">
        <v>221</v>
      </c>
      <c r="N63" s="41" t="s">
        <v>222</v>
      </c>
    </row>
    <row r="64" spans="1:14">
      <c r="A64" s="43"/>
      <c r="B64" s="41">
        <v>95</v>
      </c>
      <c r="C64" s="41">
        <v>3350</v>
      </c>
      <c r="D64" s="41">
        <v>3400</v>
      </c>
      <c r="E64" s="42">
        <v>7.6</v>
      </c>
      <c r="F64" s="42">
        <v>7.5</v>
      </c>
      <c r="G64" s="42">
        <v>24</v>
      </c>
      <c r="H64" s="42">
        <v>24.4</v>
      </c>
      <c r="I64" s="41">
        <v>201</v>
      </c>
      <c r="J64" s="41">
        <v>202</v>
      </c>
      <c r="K64" s="41">
        <v>54</v>
      </c>
      <c r="L64" s="41">
        <v>55</v>
      </c>
      <c r="M64" s="41" t="s">
        <v>223</v>
      </c>
      <c r="N64" s="41" t="s">
        <v>178</v>
      </c>
    </row>
    <row r="65" spans="1:14">
      <c r="A65" s="44"/>
      <c r="B65" s="41">
        <v>90</v>
      </c>
      <c r="C65" s="41">
        <v>3300</v>
      </c>
      <c r="D65" s="41">
        <v>3350</v>
      </c>
      <c r="E65" s="42">
        <v>7.7</v>
      </c>
      <c r="F65" s="42">
        <v>7.6</v>
      </c>
      <c r="G65" s="42">
        <v>22.2</v>
      </c>
      <c r="H65" s="42">
        <v>22.4</v>
      </c>
      <c r="I65" s="41">
        <v>195</v>
      </c>
      <c r="J65" s="41">
        <v>196</v>
      </c>
      <c r="K65" s="41">
        <v>52</v>
      </c>
      <c r="L65" s="41">
        <v>53</v>
      </c>
      <c r="M65" s="41" t="s">
        <v>224</v>
      </c>
      <c r="N65" s="41" t="s">
        <v>225</v>
      </c>
    </row>
    <row r="66" spans="1:14">
      <c r="A66" s="45" t="s">
        <v>182</v>
      </c>
      <c r="B66" s="46">
        <v>85</v>
      </c>
      <c r="C66" s="46">
        <v>3150</v>
      </c>
      <c r="D66" s="46">
        <v>3200</v>
      </c>
      <c r="E66" s="47">
        <v>8</v>
      </c>
      <c r="F66" s="47">
        <v>7.9</v>
      </c>
      <c r="G66" s="47">
        <v>20.6</v>
      </c>
      <c r="H66" s="47">
        <v>21</v>
      </c>
      <c r="I66" s="46">
        <v>188</v>
      </c>
      <c r="J66" s="46">
        <v>189</v>
      </c>
      <c r="K66" s="46">
        <v>49</v>
      </c>
      <c r="L66" s="46">
        <v>50</v>
      </c>
      <c r="M66" s="46" t="s">
        <v>226</v>
      </c>
      <c r="N66" s="46" t="s">
        <v>227</v>
      </c>
    </row>
    <row r="67" spans="1:14">
      <c r="A67" s="48"/>
      <c r="B67" s="46">
        <v>80</v>
      </c>
      <c r="C67" s="46">
        <v>3000</v>
      </c>
      <c r="D67" s="46">
        <v>3050</v>
      </c>
      <c r="E67" s="47">
        <v>8.3</v>
      </c>
      <c r="F67" s="47">
        <v>8.2</v>
      </c>
      <c r="G67" s="47">
        <v>19</v>
      </c>
      <c r="H67" s="47">
        <v>19.5</v>
      </c>
      <c r="I67" s="46">
        <v>181</v>
      </c>
      <c r="J67" s="46">
        <v>182</v>
      </c>
      <c r="K67" s="46">
        <v>46</v>
      </c>
      <c r="L67" s="46">
        <v>47</v>
      </c>
      <c r="M67" s="46" t="s">
        <v>228</v>
      </c>
      <c r="N67" s="46" t="s">
        <v>185</v>
      </c>
    </row>
    <row r="68" spans="1:14">
      <c r="A68" s="49" t="s">
        <v>187</v>
      </c>
      <c r="B68" s="50">
        <v>78</v>
      </c>
      <c r="C68" s="50">
        <v>2900</v>
      </c>
      <c r="D68" s="50">
        <v>2950</v>
      </c>
      <c r="E68" s="51">
        <v>8.5</v>
      </c>
      <c r="F68" s="51">
        <v>8.4</v>
      </c>
      <c r="G68" s="51">
        <v>17.7</v>
      </c>
      <c r="H68" s="51">
        <v>18.2</v>
      </c>
      <c r="I68" s="50">
        <v>178</v>
      </c>
      <c r="J68" s="50">
        <v>179</v>
      </c>
      <c r="K68" s="50">
        <v>44</v>
      </c>
      <c r="L68" s="50">
        <v>45</v>
      </c>
      <c r="M68" s="50" t="s">
        <v>229</v>
      </c>
      <c r="N68" s="50" t="s">
        <v>188</v>
      </c>
    </row>
    <row r="69" spans="1:14">
      <c r="A69" s="52"/>
      <c r="B69" s="50">
        <v>76</v>
      </c>
      <c r="C69" s="50">
        <v>2800</v>
      </c>
      <c r="D69" s="50">
        <v>2850</v>
      </c>
      <c r="E69" s="51">
        <v>8.7</v>
      </c>
      <c r="F69" s="51">
        <v>8.6</v>
      </c>
      <c r="G69" s="51">
        <v>16.4</v>
      </c>
      <c r="H69" s="51">
        <v>16.9</v>
      </c>
      <c r="I69" s="50">
        <v>175</v>
      </c>
      <c r="J69" s="50">
        <v>176</v>
      </c>
      <c r="K69" s="50">
        <v>42</v>
      </c>
      <c r="L69" s="50">
        <v>43</v>
      </c>
      <c r="M69" s="50" t="s">
        <v>230</v>
      </c>
      <c r="N69" s="50" t="s">
        <v>190</v>
      </c>
    </row>
    <row r="70" spans="1:14">
      <c r="A70" s="52"/>
      <c r="B70" s="50">
        <v>74</v>
      </c>
      <c r="C70" s="50">
        <v>2700</v>
      </c>
      <c r="D70" s="50">
        <v>2750</v>
      </c>
      <c r="E70" s="51">
        <v>8.9</v>
      </c>
      <c r="F70" s="51">
        <v>8.8</v>
      </c>
      <c r="G70" s="51">
        <v>15.1</v>
      </c>
      <c r="H70" s="51">
        <v>15.6</v>
      </c>
      <c r="I70" s="50">
        <v>172</v>
      </c>
      <c r="J70" s="50">
        <v>173</v>
      </c>
      <c r="K70" s="50">
        <v>40</v>
      </c>
      <c r="L70" s="50">
        <v>41</v>
      </c>
      <c r="M70" s="50" t="s">
        <v>231</v>
      </c>
      <c r="N70" s="50" t="s">
        <v>192</v>
      </c>
    </row>
    <row r="71" spans="1:14">
      <c r="A71" s="52"/>
      <c r="B71" s="50">
        <v>72</v>
      </c>
      <c r="C71" s="50">
        <v>2600</v>
      </c>
      <c r="D71" s="50">
        <v>2650</v>
      </c>
      <c r="E71" s="51">
        <v>9.1</v>
      </c>
      <c r="F71" s="51">
        <v>9</v>
      </c>
      <c r="G71" s="51">
        <v>13.8</v>
      </c>
      <c r="H71" s="51">
        <v>14.3</v>
      </c>
      <c r="I71" s="50">
        <v>169</v>
      </c>
      <c r="J71" s="50">
        <v>170</v>
      </c>
      <c r="K71" s="50">
        <v>38</v>
      </c>
      <c r="L71" s="50">
        <v>39</v>
      </c>
      <c r="M71" s="50" t="s">
        <v>232</v>
      </c>
      <c r="N71" s="50" t="s">
        <v>194</v>
      </c>
    </row>
    <row r="72" spans="1:14">
      <c r="A72" s="52"/>
      <c r="B72" s="50">
        <v>70</v>
      </c>
      <c r="C72" s="50">
        <v>2500</v>
      </c>
      <c r="D72" s="50">
        <v>2550</v>
      </c>
      <c r="E72" s="51">
        <v>9.3</v>
      </c>
      <c r="F72" s="51">
        <v>9.2</v>
      </c>
      <c r="G72" s="51">
        <v>12.5</v>
      </c>
      <c r="H72" s="51">
        <v>13</v>
      </c>
      <c r="I72" s="50">
        <v>166</v>
      </c>
      <c r="J72" s="50">
        <v>167</v>
      </c>
      <c r="K72" s="50">
        <v>36</v>
      </c>
      <c r="L72" s="50">
        <v>37</v>
      </c>
      <c r="M72" s="50" t="s">
        <v>233</v>
      </c>
      <c r="N72" s="50" t="s">
        <v>196</v>
      </c>
    </row>
    <row r="73" spans="1:14">
      <c r="A73" s="52"/>
      <c r="B73" s="50">
        <v>68</v>
      </c>
      <c r="C73" s="50">
        <v>2400</v>
      </c>
      <c r="D73" s="50">
        <v>2450</v>
      </c>
      <c r="E73" s="51">
        <v>9.5</v>
      </c>
      <c r="F73" s="51">
        <v>9.4</v>
      </c>
      <c r="G73" s="51">
        <v>11.2</v>
      </c>
      <c r="H73" s="51">
        <v>11.7</v>
      </c>
      <c r="I73" s="50">
        <v>163</v>
      </c>
      <c r="J73" s="50">
        <v>164</v>
      </c>
      <c r="K73" s="50">
        <v>34</v>
      </c>
      <c r="L73" s="50">
        <v>35</v>
      </c>
      <c r="M73" s="50" t="s">
        <v>234</v>
      </c>
      <c r="N73" s="50" t="s">
        <v>198</v>
      </c>
    </row>
    <row r="74" spans="1:14">
      <c r="A74" s="52"/>
      <c r="B74" s="50">
        <v>66</v>
      </c>
      <c r="C74" s="50">
        <v>2300</v>
      </c>
      <c r="D74" s="50">
        <v>2350</v>
      </c>
      <c r="E74" s="51">
        <v>9.7</v>
      </c>
      <c r="F74" s="51">
        <v>9.6</v>
      </c>
      <c r="G74" s="51">
        <v>9.9</v>
      </c>
      <c r="H74" s="51">
        <v>10.4</v>
      </c>
      <c r="I74" s="50">
        <v>160</v>
      </c>
      <c r="J74" s="50">
        <v>161</v>
      </c>
      <c r="K74" s="50">
        <v>32</v>
      </c>
      <c r="L74" s="50">
        <v>33</v>
      </c>
      <c r="M74" s="50" t="s">
        <v>235</v>
      </c>
      <c r="N74" s="50" t="s">
        <v>200</v>
      </c>
    </row>
    <row r="75" spans="1:14">
      <c r="A75" s="52"/>
      <c r="B75" s="50">
        <v>64</v>
      </c>
      <c r="C75" s="50">
        <v>2200</v>
      </c>
      <c r="D75" s="50">
        <v>2250</v>
      </c>
      <c r="E75" s="51">
        <v>9.9</v>
      </c>
      <c r="F75" s="51">
        <v>9.8</v>
      </c>
      <c r="G75" s="51">
        <v>8.6</v>
      </c>
      <c r="H75" s="51">
        <v>9.1</v>
      </c>
      <c r="I75" s="50">
        <v>157</v>
      </c>
      <c r="J75" s="50">
        <v>158</v>
      </c>
      <c r="K75" s="50">
        <v>30</v>
      </c>
      <c r="L75" s="50">
        <v>31</v>
      </c>
      <c r="M75" s="50" t="s">
        <v>236</v>
      </c>
      <c r="N75" s="50" t="s">
        <v>202</v>
      </c>
    </row>
    <row r="76" spans="1:14">
      <c r="A76" s="52"/>
      <c r="B76" s="50">
        <v>62</v>
      </c>
      <c r="C76" s="50">
        <v>2100</v>
      </c>
      <c r="D76" s="50">
        <v>2150</v>
      </c>
      <c r="E76" s="51">
        <v>10.1</v>
      </c>
      <c r="F76" s="51">
        <v>10</v>
      </c>
      <c r="G76" s="51">
        <v>7.3</v>
      </c>
      <c r="H76" s="51">
        <v>7.8</v>
      </c>
      <c r="I76" s="50">
        <v>154</v>
      </c>
      <c r="J76" s="50">
        <v>155</v>
      </c>
      <c r="K76" s="50">
        <v>28</v>
      </c>
      <c r="L76" s="50">
        <v>29</v>
      </c>
      <c r="M76" s="50" t="s">
        <v>237</v>
      </c>
      <c r="N76" s="50" t="s">
        <v>204</v>
      </c>
    </row>
    <row r="77" spans="1:14">
      <c r="A77" s="53"/>
      <c r="B77" s="50">
        <v>60</v>
      </c>
      <c r="C77" s="50">
        <v>2000</v>
      </c>
      <c r="D77" s="50">
        <v>2050</v>
      </c>
      <c r="E77" s="51">
        <v>10.3</v>
      </c>
      <c r="F77" s="51">
        <v>10.2</v>
      </c>
      <c r="G77" s="51">
        <v>6</v>
      </c>
      <c r="H77" s="51">
        <v>6.5</v>
      </c>
      <c r="I77" s="50">
        <v>151</v>
      </c>
      <c r="J77" s="50">
        <v>152</v>
      </c>
      <c r="K77" s="50">
        <v>26</v>
      </c>
      <c r="L77" s="50">
        <v>27</v>
      </c>
      <c r="M77" s="50" t="s">
        <v>238</v>
      </c>
      <c r="N77" s="50" t="s">
        <v>206</v>
      </c>
    </row>
    <row r="78" spans="1:14">
      <c r="A78" s="54" t="s">
        <v>208</v>
      </c>
      <c r="B78" s="55">
        <v>50</v>
      </c>
      <c r="C78" s="55">
        <v>1960</v>
      </c>
      <c r="D78" s="55">
        <v>2010</v>
      </c>
      <c r="E78" s="56">
        <v>10.5</v>
      </c>
      <c r="F78" s="56">
        <v>10.4</v>
      </c>
      <c r="G78" s="56">
        <v>5.2</v>
      </c>
      <c r="H78" s="56">
        <v>5.7</v>
      </c>
      <c r="I78" s="55">
        <v>146</v>
      </c>
      <c r="J78" s="55">
        <v>147</v>
      </c>
      <c r="K78" s="55">
        <v>24</v>
      </c>
      <c r="L78" s="55">
        <v>25</v>
      </c>
      <c r="M78" s="55" t="s">
        <v>239</v>
      </c>
      <c r="N78" s="55" t="s">
        <v>240</v>
      </c>
    </row>
    <row r="79" spans="1:14">
      <c r="A79" s="57"/>
      <c r="B79" s="55">
        <v>40</v>
      </c>
      <c r="C79" s="55">
        <v>1920</v>
      </c>
      <c r="D79" s="55">
        <v>1970</v>
      </c>
      <c r="E79" s="56">
        <v>10.7</v>
      </c>
      <c r="F79" s="56">
        <v>10.6</v>
      </c>
      <c r="G79" s="56">
        <v>4.4</v>
      </c>
      <c r="H79" s="56">
        <v>4.9</v>
      </c>
      <c r="I79" s="55">
        <v>141</v>
      </c>
      <c r="J79" s="55">
        <v>142</v>
      </c>
      <c r="K79" s="55">
        <v>22</v>
      </c>
      <c r="L79" s="55">
        <v>23</v>
      </c>
      <c r="M79" s="55" t="s">
        <v>241</v>
      </c>
      <c r="N79" s="55" t="s">
        <v>209</v>
      </c>
    </row>
    <row r="80" spans="1:14">
      <c r="A80" s="57"/>
      <c r="B80" s="55">
        <v>30</v>
      </c>
      <c r="C80" s="55">
        <v>1880</v>
      </c>
      <c r="D80" s="55">
        <v>1930</v>
      </c>
      <c r="E80" s="56">
        <v>10.9</v>
      </c>
      <c r="F80" s="56">
        <v>10.8</v>
      </c>
      <c r="G80" s="56">
        <v>3.6</v>
      </c>
      <c r="H80" s="56">
        <v>4.1</v>
      </c>
      <c r="I80" s="55">
        <v>136</v>
      </c>
      <c r="J80" s="55">
        <v>137</v>
      </c>
      <c r="K80" s="55">
        <v>20</v>
      </c>
      <c r="L80" s="55">
        <v>21</v>
      </c>
      <c r="M80" s="55" t="s">
        <v>242</v>
      </c>
      <c r="N80" s="55" t="s">
        <v>243</v>
      </c>
    </row>
    <row r="81" spans="1:14">
      <c r="A81" s="57"/>
      <c r="B81" s="55">
        <v>20</v>
      </c>
      <c r="C81" s="55">
        <v>1840</v>
      </c>
      <c r="D81" s="55">
        <v>1890</v>
      </c>
      <c r="E81" s="56">
        <v>11.1</v>
      </c>
      <c r="F81" s="56">
        <v>11</v>
      </c>
      <c r="G81" s="56">
        <v>2.8</v>
      </c>
      <c r="H81" s="56">
        <v>3.3</v>
      </c>
      <c r="I81" s="55">
        <v>131</v>
      </c>
      <c r="J81" s="55">
        <v>132</v>
      </c>
      <c r="K81" s="55">
        <v>18</v>
      </c>
      <c r="L81" s="55">
        <v>19</v>
      </c>
      <c r="M81" s="55" t="s">
        <v>244</v>
      </c>
      <c r="N81" s="55" t="s">
        <v>211</v>
      </c>
    </row>
    <row r="82" spans="1:14">
      <c r="A82" s="58"/>
      <c r="B82" s="55">
        <v>10</v>
      </c>
      <c r="C82" s="55">
        <v>1800</v>
      </c>
      <c r="D82" s="55">
        <v>1850</v>
      </c>
      <c r="E82" s="56">
        <v>11.3</v>
      </c>
      <c r="F82" s="56">
        <v>11.2</v>
      </c>
      <c r="G82" s="56">
        <v>2</v>
      </c>
      <c r="H82" s="56">
        <v>2.5</v>
      </c>
      <c r="I82" s="55">
        <v>126</v>
      </c>
      <c r="J82" s="55">
        <v>127</v>
      </c>
      <c r="K82" s="55">
        <v>16</v>
      </c>
      <c r="L82" s="55">
        <v>17</v>
      </c>
      <c r="M82" s="55" t="s">
        <v>245</v>
      </c>
      <c r="N82" s="55" t="s">
        <v>246</v>
      </c>
    </row>
  </sheetData>
  <mergeCells count="41">
    <mergeCell ref="A1:V1"/>
    <mergeCell ref="A31:N31"/>
    <mergeCell ref="C32:D32"/>
    <mergeCell ref="E32:F32"/>
    <mergeCell ref="G32:H32"/>
    <mergeCell ref="I32:J32"/>
    <mergeCell ref="K32:L32"/>
    <mergeCell ref="M32:N32"/>
    <mergeCell ref="C33:D33"/>
    <mergeCell ref="E33:F33"/>
    <mergeCell ref="G33:H33"/>
    <mergeCell ref="I33:J33"/>
    <mergeCell ref="K33:L33"/>
    <mergeCell ref="M33:N33"/>
    <mergeCell ref="A58:N58"/>
    <mergeCell ref="C59:D59"/>
    <mergeCell ref="E59:F59"/>
    <mergeCell ref="G59:H59"/>
    <mergeCell ref="I59:J59"/>
    <mergeCell ref="K59:L59"/>
    <mergeCell ref="M59:N59"/>
    <mergeCell ref="C60:D60"/>
    <mergeCell ref="E60:F60"/>
    <mergeCell ref="G60:H60"/>
    <mergeCell ref="I60:J60"/>
    <mergeCell ref="K60:L60"/>
    <mergeCell ref="M60:N60"/>
    <mergeCell ref="A34:A35"/>
    <mergeCell ref="A36:A38"/>
    <mergeCell ref="A39:A40"/>
    <mergeCell ref="A41:A50"/>
    <mergeCell ref="A51:A55"/>
    <mergeCell ref="A61:A62"/>
    <mergeCell ref="A63:A65"/>
    <mergeCell ref="A66:A67"/>
    <mergeCell ref="A68:A77"/>
    <mergeCell ref="A78:A82"/>
    <mergeCell ref="B34:B35"/>
    <mergeCell ref="B61:B62"/>
    <mergeCell ref="A32:B33"/>
    <mergeCell ref="A59:B60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学生成绩</vt:lpstr>
      <vt:lpstr>各项评分标准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WPS_1692970433</cp:lastModifiedBy>
  <dcterms:created xsi:type="dcterms:W3CDTF">1996-12-17T01:32:00Z</dcterms:created>
  <cp:lastPrinted>2024-01-08T02:30:00Z</cp:lastPrinted>
  <dcterms:modified xsi:type="dcterms:W3CDTF">2026-01-06T06:03:42Z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814128ACEC5E4F938EE93EB2B6A84C75_12</vt:lpwstr>
  </property>
  <property fmtid="{D5CDD505-2E9C-101B-9397-08002B2CF9AE}" pid="4" name="CalculationRule">
    <vt:i4>0</vt:i4>
  </property>
</Properties>
</file>